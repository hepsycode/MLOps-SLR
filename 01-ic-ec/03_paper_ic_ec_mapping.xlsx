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to\Desktop\LAVORO-IMPORTANTE\SLIDE-x-MLOps\SOTA\selected-SOTA\"/>
    </mc:Choice>
  </mc:AlternateContent>
  <xr:revisionPtr revIDLastSave="0" documentId="13_ncr:1_{D6E50187-5EDE-441E-A533-8761483CD25A}" xr6:coauthVersionLast="47" xr6:coauthVersionMax="47" xr10:uidLastSave="{00000000-0000-0000-0000-000000000000}"/>
  <bookViews>
    <workbookView xWindow="-108" yWindow="-108" windowWidth="23256" windowHeight="12576" activeTab="1" xr2:uid="{993F3F40-A627-4C42-BDD7-043EA205A285}"/>
  </bookViews>
  <sheets>
    <sheet name="paper_ic_ec_mapping" sheetId="1" r:id="rId1"/>
    <sheet name="Selected" sheetId="2" r:id="rId2"/>
  </sheets>
  <definedNames>
    <definedName name="_xlnm._FilterDatabase" localSheetId="0" hidden="1">paper_ic_ec_mapping!$V$1:$V$1085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37" i="1" l="1"/>
  <c r="V1085" i="1"/>
  <c r="V1086" i="1"/>
  <c r="V1087" i="1"/>
  <c r="V1088" i="1"/>
  <c r="V1089" i="1"/>
  <c r="V1090" i="1"/>
  <c r="V1091" i="1"/>
  <c r="V1092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084" i="1"/>
  <c r="V7" i="1"/>
  <c r="V2" i="1"/>
  <c r="V36" i="1"/>
  <c r="V69" i="1"/>
  <c r="V124" i="1"/>
  <c r="V125" i="1"/>
  <c r="V137" i="1"/>
  <c r="V164" i="1"/>
  <c r="V252" i="1"/>
  <c r="V265" i="1"/>
  <c r="V268" i="1"/>
  <c r="V396" i="1"/>
  <c r="V412" i="1"/>
  <c r="V564" i="1"/>
  <c r="V577" i="1"/>
  <c r="V709" i="1"/>
  <c r="V753" i="1"/>
  <c r="V777" i="1"/>
  <c r="V1036" i="1"/>
  <c r="V1049" i="1"/>
  <c r="T3" i="1"/>
  <c r="V3" i="1" s="1"/>
  <c r="U3" i="1"/>
  <c r="T4" i="1"/>
  <c r="V4" i="1" s="1"/>
  <c r="U4" i="1"/>
  <c r="T5" i="1"/>
  <c r="V5" i="1" s="1"/>
  <c r="U5" i="1"/>
  <c r="T6" i="1"/>
  <c r="V6" i="1" s="1"/>
  <c r="U6" i="1"/>
  <c r="T7" i="1"/>
  <c r="U7" i="1"/>
  <c r="T8" i="1"/>
  <c r="V8" i="1" s="1"/>
  <c r="U8" i="1"/>
  <c r="T9" i="1"/>
  <c r="V9" i="1" s="1"/>
  <c r="U9" i="1"/>
  <c r="T10" i="1"/>
  <c r="V10" i="1" s="1"/>
  <c r="U10" i="1"/>
  <c r="T11" i="1"/>
  <c r="V11" i="1" s="1"/>
  <c r="U11" i="1"/>
  <c r="T12" i="1"/>
  <c r="V12" i="1" s="1"/>
  <c r="U12" i="1"/>
  <c r="T13" i="1"/>
  <c r="V13" i="1" s="1"/>
  <c r="U13" i="1"/>
  <c r="T14" i="1"/>
  <c r="V14" i="1" s="1"/>
  <c r="U14" i="1"/>
  <c r="T15" i="1"/>
  <c r="V15" i="1" s="1"/>
  <c r="U15" i="1"/>
  <c r="T16" i="1"/>
  <c r="V16" i="1" s="1"/>
  <c r="U16" i="1"/>
  <c r="T17" i="1"/>
  <c r="V17" i="1" s="1"/>
  <c r="U17" i="1"/>
  <c r="T18" i="1"/>
  <c r="V18" i="1" s="1"/>
  <c r="U18" i="1"/>
  <c r="T19" i="1"/>
  <c r="V19" i="1" s="1"/>
  <c r="U19" i="1"/>
  <c r="T20" i="1"/>
  <c r="V20" i="1" s="1"/>
  <c r="U20" i="1"/>
  <c r="T21" i="1"/>
  <c r="V21" i="1" s="1"/>
  <c r="U21" i="1"/>
  <c r="T22" i="1"/>
  <c r="V22" i="1" s="1"/>
  <c r="U22" i="1"/>
  <c r="T23" i="1"/>
  <c r="V23" i="1" s="1"/>
  <c r="U23" i="1"/>
  <c r="T24" i="1"/>
  <c r="V24" i="1" s="1"/>
  <c r="U24" i="1"/>
  <c r="T25" i="1"/>
  <c r="V25" i="1" s="1"/>
  <c r="U25" i="1"/>
  <c r="T26" i="1"/>
  <c r="V26" i="1" s="1"/>
  <c r="U26" i="1"/>
  <c r="T27" i="1"/>
  <c r="V27" i="1" s="1"/>
  <c r="U27" i="1"/>
  <c r="T28" i="1"/>
  <c r="V28" i="1" s="1"/>
  <c r="U28" i="1"/>
  <c r="T29" i="1"/>
  <c r="V29" i="1" s="1"/>
  <c r="U29" i="1"/>
  <c r="T30" i="1"/>
  <c r="V30" i="1" s="1"/>
  <c r="U30" i="1"/>
  <c r="T31" i="1"/>
  <c r="V31" i="1" s="1"/>
  <c r="U31" i="1"/>
  <c r="T32" i="1"/>
  <c r="V32" i="1" s="1"/>
  <c r="U32" i="1"/>
  <c r="T33" i="1"/>
  <c r="V33" i="1" s="1"/>
  <c r="U33" i="1"/>
  <c r="T34" i="1"/>
  <c r="V34" i="1" s="1"/>
  <c r="U34" i="1"/>
  <c r="T35" i="1"/>
  <c r="V35" i="1" s="1"/>
  <c r="U35" i="1"/>
  <c r="T36" i="1"/>
  <c r="U36" i="1"/>
  <c r="T37" i="1"/>
  <c r="V37" i="1" s="1"/>
  <c r="U37" i="1"/>
  <c r="T38" i="1"/>
  <c r="V38" i="1" s="1"/>
  <c r="U38" i="1"/>
  <c r="T39" i="1"/>
  <c r="V39" i="1" s="1"/>
  <c r="U39" i="1"/>
  <c r="T40" i="1"/>
  <c r="V40" i="1" s="1"/>
  <c r="U40" i="1"/>
  <c r="T41" i="1"/>
  <c r="V41" i="1" s="1"/>
  <c r="U41" i="1"/>
  <c r="T42" i="1"/>
  <c r="V42" i="1" s="1"/>
  <c r="U42" i="1"/>
  <c r="T43" i="1"/>
  <c r="V43" i="1" s="1"/>
  <c r="U43" i="1"/>
  <c r="T44" i="1"/>
  <c r="V44" i="1" s="1"/>
  <c r="U44" i="1"/>
  <c r="T45" i="1"/>
  <c r="V45" i="1" s="1"/>
  <c r="U45" i="1"/>
  <c r="T46" i="1"/>
  <c r="V46" i="1" s="1"/>
  <c r="U46" i="1"/>
  <c r="T47" i="1"/>
  <c r="V47" i="1" s="1"/>
  <c r="U47" i="1"/>
  <c r="T48" i="1"/>
  <c r="V48" i="1" s="1"/>
  <c r="U48" i="1"/>
  <c r="T49" i="1"/>
  <c r="V49" i="1" s="1"/>
  <c r="U49" i="1"/>
  <c r="T50" i="1"/>
  <c r="V50" i="1" s="1"/>
  <c r="U50" i="1"/>
  <c r="T51" i="1"/>
  <c r="V51" i="1" s="1"/>
  <c r="U51" i="1"/>
  <c r="T52" i="1"/>
  <c r="V52" i="1" s="1"/>
  <c r="U52" i="1"/>
  <c r="T53" i="1"/>
  <c r="V53" i="1" s="1"/>
  <c r="U53" i="1"/>
  <c r="T54" i="1"/>
  <c r="V54" i="1" s="1"/>
  <c r="U54" i="1"/>
  <c r="T55" i="1"/>
  <c r="V55" i="1" s="1"/>
  <c r="U55" i="1"/>
  <c r="T56" i="1"/>
  <c r="V56" i="1" s="1"/>
  <c r="U56" i="1"/>
  <c r="T57" i="1"/>
  <c r="V57" i="1" s="1"/>
  <c r="U57" i="1"/>
  <c r="T58" i="1"/>
  <c r="V58" i="1" s="1"/>
  <c r="U58" i="1"/>
  <c r="T59" i="1"/>
  <c r="V59" i="1" s="1"/>
  <c r="U59" i="1"/>
  <c r="T60" i="1"/>
  <c r="V60" i="1" s="1"/>
  <c r="U60" i="1"/>
  <c r="T61" i="1"/>
  <c r="V61" i="1" s="1"/>
  <c r="U61" i="1"/>
  <c r="T62" i="1"/>
  <c r="V62" i="1" s="1"/>
  <c r="U62" i="1"/>
  <c r="T63" i="1"/>
  <c r="V63" i="1" s="1"/>
  <c r="U63" i="1"/>
  <c r="T64" i="1"/>
  <c r="V64" i="1" s="1"/>
  <c r="U64" i="1"/>
  <c r="T65" i="1"/>
  <c r="V65" i="1" s="1"/>
  <c r="U65" i="1"/>
  <c r="T66" i="1"/>
  <c r="V66" i="1" s="1"/>
  <c r="U66" i="1"/>
  <c r="T67" i="1"/>
  <c r="V67" i="1" s="1"/>
  <c r="U67" i="1"/>
  <c r="T68" i="1"/>
  <c r="V68" i="1" s="1"/>
  <c r="U68" i="1"/>
  <c r="T69" i="1"/>
  <c r="U69" i="1"/>
  <c r="T70" i="1"/>
  <c r="V70" i="1" s="1"/>
  <c r="U70" i="1"/>
  <c r="T71" i="1"/>
  <c r="V71" i="1" s="1"/>
  <c r="U71" i="1"/>
  <c r="T72" i="1"/>
  <c r="V72" i="1" s="1"/>
  <c r="U72" i="1"/>
  <c r="T73" i="1"/>
  <c r="V73" i="1" s="1"/>
  <c r="U73" i="1"/>
  <c r="T74" i="1"/>
  <c r="V74" i="1" s="1"/>
  <c r="U74" i="1"/>
  <c r="T75" i="1"/>
  <c r="V75" i="1" s="1"/>
  <c r="U75" i="1"/>
  <c r="T76" i="1"/>
  <c r="V76" i="1" s="1"/>
  <c r="U76" i="1"/>
  <c r="T77" i="1"/>
  <c r="V77" i="1" s="1"/>
  <c r="U77" i="1"/>
  <c r="T78" i="1"/>
  <c r="V78" i="1" s="1"/>
  <c r="U78" i="1"/>
  <c r="T79" i="1"/>
  <c r="V79" i="1" s="1"/>
  <c r="U79" i="1"/>
  <c r="T80" i="1"/>
  <c r="V80" i="1" s="1"/>
  <c r="U80" i="1"/>
  <c r="T81" i="1"/>
  <c r="V81" i="1" s="1"/>
  <c r="U81" i="1"/>
  <c r="T82" i="1"/>
  <c r="V82" i="1" s="1"/>
  <c r="U82" i="1"/>
  <c r="T83" i="1"/>
  <c r="V83" i="1" s="1"/>
  <c r="U83" i="1"/>
  <c r="T84" i="1"/>
  <c r="V84" i="1" s="1"/>
  <c r="U84" i="1"/>
  <c r="T85" i="1"/>
  <c r="V85" i="1" s="1"/>
  <c r="U85" i="1"/>
  <c r="T86" i="1"/>
  <c r="V86" i="1" s="1"/>
  <c r="U86" i="1"/>
  <c r="T87" i="1"/>
  <c r="V87" i="1" s="1"/>
  <c r="U87" i="1"/>
  <c r="T88" i="1"/>
  <c r="V88" i="1" s="1"/>
  <c r="U88" i="1"/>
  <c r="T89" i="1"/>
  <c r="V89" i="1" s="1"/>
  <c r="U89" i="1"/>
  <c r="T90" i="1"/>
  <c r="V90" i="1" s="1"/>
  <c r="U90" i="1"/>
  <c r="T91" i="1"/>
  <c r="V91" i="1" s="1"/>
  <c r="U91" i="1"/>
  <c r="T92" i="1"/>
  <c r="V92" i="1" s="1"/>
  <c r="U92" i="1"/>
  <c r="T93" i="1"/>
  <c r="V93" i="1" s="1"/>
  <c r="U93" i="1"/>
  <c r="T94" i="1"/>
  <c r="V94" i="1" s="1"/>
  <c r="U94" i="1"/>
  <c r="T95" i="1"/>
  <c r="V95" i="1" s="1"/>
  <c r="U95" i="1"/>
  <c r="T96" i="1"/>
  <c r="V96" i="1" s="1"/>
  <c r="U96" i="1"/>
  <c r="T97" i="1"/>
  <c r="V97" i="1" s="1"/>
  <c r="U97" i="1"/>
  <c r="T98" i="1"/>
  <c r="V98" i="1" s="1"/>
  <c r="U98" i="1"/>
  <c r="T99" i="1"/>
  <c r="V99" i="1" s="1"/>
  <c r="U99" i="1"/>
  <c r="T100" i="1"/>
  <c r="V100" i="1" s="1"/>
  <c r="U100" i="1"/>
  <c r="T101" i="1"/>
  <c r="V101" i="1" s="1"/>
  <c r="U101" i="1"/>
  <c r="T102" i="1"/>
  <c r="V102" i="1" s="1"/>
  <c r="U102" i="1"/>
  <c r="T103" i="1"/>
  <c r="V103" i="1" s="1"/>
  <c r="U103" i="1"/>
  <c r="T104" i="1"/>
  <c r="V104" i="1" s="1"/>
  <c r="U104" i="1"/>
  <c r="T105" i="1"/>
  <c r="V105" i="1" s="1"/>
  <c r="U105" i="1"/>
  <c r="T106" i="1"/>
  <c r="V106" i="1" s="1"/>
  <c r="U106" i="1"/>
  <c r="T107" i="1"/>
  <c r="V107" i="1" s="1"/>
  <c r="U107" i="1"/>
  <c r="T108" i="1"/>
  <c r="V108" i="1" s="1"/>
  <c r="U108" i="1"/>
  <c r="T109" i="1"/>
  <c r="V109" i="1" s="1"/>
  <c r="U109" i="1"/>
  <c r="T110" i="1"/>
  <c r="V110" i="1" s="1"/>
  <c r="U110" i="1"/>
  <c r="T111" i="1"/>
  <c r="V111" i="1" s="1"/>
  <c r="U111" i="1"/>
  <c r="T112" i="1"/>
  <c r="V112" i="1" s="1"/>
  <c r="U112" i="1"/>
  <c r="T113" i="1"/>
  <c r="V113" i="1" s="1"/>
  <c r="U113" i="1"/>
  <c r="T114" i="1"/>
  <c r="V114" i="1" s="1"/>
  <c r="U114" i="1"/>
  <c r="T115" i="1"/>
  <c r="V115" i="1" s="1"/>
  <c r="U115" i="1"/>
  <c r="T116" i="1"/>
  <c r="V116" i="1" s="1"/>
  <c r="U116" i="1"/>
  <c r="T117" i="1"/>
  <c r="V117" i="1" s="1"/>
  <c r="U117" i="1"/>
  <c r="T118" i="1"/>
  <c r="V118" i="1" s="1"/>
  <c r="U118" i="1"/>
  <c r="T119" i="1"/>
  <c r="V119" i="1" s="1"/>
  <c r="U119" i="1"/>
  <c r="T120" i="1"/>
  <c r="V120" i="1" s="1"/>
  <c r="U120" i="1"/>
  <c r="T121" i="1"/>
  <c r="V121" i="1" s="1"/>
  <c r="U121" i="1"/>
  <c r="T122" i="1"/>
  <c r="V122" i="1" s="1"/>
  <c r="U122" i="1"/>
  <c r="T123" i="1"/>
  <c r="V123" i="1" s="1"/>
  <c r="U123" i="1"/>
  <c r="T124" i="1"/>
  <c r="U124" i="1"/>
  <c r="T125" i="1"/>
  <c r="U125" i="1"/>
  <c r="T126" i="1"/>
  <c r="V126" i="1" s="1"/>
  <c r="U126" i="1"/>
  <c r="T127" i="1"/>
  <c r="V127" i="1" s="1"/>
  <c r="U127" i="1"/>
  <c r="T128" i="1"/>
  <c r="V128" i="1" s="1"/>
  <c r="U128" i="1"/>
  <c r="T129" i="1"/>
  <c r="V129" i="1" s="1"/>
  <c r="U129" i="1"/>
  <c r="T130" i="1"/>
  <c r="V130" i="1" s="1"/>
  <c r="U130" i="1"/>
  <c r="T131" i="1"/>
  <c r="V131" i="1" s="1"/>
  <c r="U131" i="1"/>
  <c r="T132" i="1"/>
  <c r="V132" i="1" s="1"/>
  <c r="U132" i="1"/>
  <c r="T133" i="1"/>
  <c r="V133" i="1" s="1"/>
  <c r="U133" i="1"/>
  <c r="T134" i="1"/>
  <c r="V134" i="1" s="1"/>
  <c r="U134" i="1"/>
  <c r="T135" i="1"/>
  <c r="V135" i="1" s="1"/>
  <c r="U135" i="1"/>
  <c r="T136" i="1"/>
  <c r="V136" i="1" s="1"/>
  <c r="U136" i="1"/>
  <c r="T137" i="1"/>
  <c r="U137" i="1"/>
  <c r="T138" i="1"/>
  <c r="V138" i="1" s="1"/>
  <c r="U138" i="1"/>
  <c r="T139" i="1"/>
  <c r="V139" i="1" s="1"/>
  <c r="U139" i="1"/>
  <c r="T140" i="1"/>
  <c r="V140" i="1" s="1"/>
  <c r="U140" i="1"/>
  <c r="T141" i="1"/>
  <c r="V141" i="1" s="1"/>
  <c r="U141" i="1"/>
  <c r="T142" i="1"/>
  <c r="V142" i="1" s="1"/>
  <c r="U142" i="1"/>
  <c r="T143" i="1"/>
  <c r="V143" i="1" s="1"/>
  <c r="U143" i="1"/>
  <c r="T144" i="1"/>
  <c r="V144" i="1" s="1"/>
  <c r="U144" i="1"/>
  <c r="T145" i="1"/>
  <c r="V145" i="1" s="1"/>
  <c r="U145" i="1"/>
  <c r="T146" i="1"/>
  <c r="V146" i="1" s="1"/>
  <c r="U146" i="1"/>
  <c r="T147" i="1"/>
  <c r="V147" i="1" s="1"/>
  <c r="U147" i="1"/>
  <c r="T148" i="1"/>
  <c r="V148" i="1" s="1"/>
  <c r="U148" i="1"/>
  <c r="T149" i="1"/>
  <c r="V149" i="1" s="1"/>
  <c r="U149" i="1"/>
  <c r="T150" i="1"/>
  <c r="V150" i="1" s="1"/>
  <c r="U150" i="1"/>
  <c r="T151" i="1"/>
  <c r="V151" i="1" s="1"/>
  <c r="U151" i="1"/>
  <c r="T152" i="1"/>
  <c r="V152" i="1" s="1"/>
  <c r="U152" i="1"/>
  <c r="T153" i="1"/>
  <c r="V153" i="1" s="1"/>
  <c r="U153" i="1"/>
  <c r="T154" i="1"/>
  <c r="V154" i="1" s="1"/>
  <c r="U154" i="1"/>
  <c r="T155" i="1"/>
  <c r="V155" i="1" s="1"/>
  <c r="U155" i="1"/>
  <c r="T156" i="1"/>
  <c r="V156" i="1" s="1"/>
  <c r="U156" i="1"/>
  <c r="T157" i="1"/>
  <c r="V157" i="1" s="1"/>
  <c r="U157" i="1"/>
  <c r="T158" i="1"/>
  <c r="V158" i="1" s="1"/>
  <c r="U158" i="1"/>
  <c r="T159" i="1"/>
  <c r="V159" i="1" s="1"/>
  <c r="U159" i="1"/>
  <c r="T160" i="1"/>
  <c r="V160" i="1" s="1"/>
  <c r="U160" i="1"/>
  <c r="T161" i="1"/>
  <c r="V161" i="1" s="1"/>
  <c r="U161" i="1"/>
  <c r="T162" i="1"/>
  <c r="V162" i="1" s="1"/>
  <c r="U162" i="1"/>
  <c r="T163" i="1"/>
  <c r="V163" i="1" s="1"/>
  <c r="U163" i="1"/>
  <c r="T164" i="1"/>
  <c r="U164" i="1"/>
  <c r="T165" i="1"/>
  <c r="V165" i="1" s="1"/>
  <c r="U165" i="1"/>
  <c r="T166" i="1"/>
  <c r="V166" i="1" s="1"/>
  <c r="U166" i="1"/>
  <c r="T167" i="1"/>
  <c r="V167" i="1" s="1"/>
  <c r="U167" i="1"/>
  <c r="T168" i="1"/>
  <c r="V168" i="1" s="1"/>
  <c r="U168" i="1"/>
  <c r="T169" i="1"/>
  <c r="V169" i="1" s="1"/>
  <c r="U169" i="1"/>
  <c r="T170" i="1"/>
  <c r="V170" i="1" s="1"/>
  <c r="U170" i="1"/>
  <c r="T171" i="1"/>
  <c r="V171" i="1" s="1"/>
  <c r="U171" i="1"/>
  <c r="T172" i="1"/>
  <c r="V172" i="1" s="1"/>
  <c r="U172" i="1"/>
  <c r="T173" i="1"/>
  <c r="V173" i="1" s="1"/>
  <c r="U173" i="1"/>
  <c r="T174" i="1"/>
  <c r="V174" i="1" s="1"/>
  <c r="U174" i="1"/>
  <c r="T175" i="1"/>
  <c r="V175" i="1" s="1"/>
  <c r="U175" i="1"/>
  <c r="T176" i="1"/>
  <c r="V176" i="1" s="1"/>
  <c r="U176" i="1"/>
  <c r="T177" i="1"/>
  <c r="V177" i="1" s="1"/>
  <c r="U177" i="1"/>
  <c r="T178" i="1"/>
  <c r="V178" i="1" s="1"/>
  <c r="U178" i="1"/>
  <c r="T179" i="1"/>
  <c r="V179" i="1" s="1"/>
  <c r="U179" i="1"/>
  <c r="T180" i="1"/>
  <c r="V180" i="1" s="1"/>
  <c r="U180" i="1"/>
  <c r="T181" i="1"/>
  <c r="V181" i="1" s="1"/>
  <c r="U181" i="1"/>
  <c r="T182" i="1"/>
  <c r="V182" i="1" s="1"/>
  <c r="U182" i="1"/>
  <c r="T183" i="1"/>
  <c r="V183" i="1" s="1"/>
  <c r="U183" i="1"/>
  <c r="T184" i="1"/>
  <c r="V184" i="1" s="1"/>
  <c r="U184" i="1"/>
  <c r="T185" i="1"/>
  <c r="V185" i="1" s="1"/>
  <c r="U185" i="1"/>
  <c r="T186" i="1"/>
  <c r="V186" i="1" s="1"/>
  <c r="U186" i="1"/>
  <c r="T187" i="1"/>
  <c r="V187" i="1" s="1"/>
  <c r="U187" i="1"/>
  <c r="T188" i="1"/>
  <c r="V188" i="1" s="1"/>
  <c r="U188" i="1"/>
  <c r="T189" i="1"/>
  <c r="V189" i="1" s="1"/>
  <c r="U189" i="1"/>
  <c r="T190" i="1"/>
  <c r="V190" i="1" s="1"/>
  <c r="U190" i="1"/>
  <c r="T191" i="1"/>
  <c r="V191" i="1" s="1"/>
  <c r="U191" i="1"/>
  <c r="T192" i="1"/>
  <c r="V192" i="1" s="1"/>
  <c r="U192" i="1"/>
  <c r="T193" i="1"/>
  <c r="V193" i="1" s="1"/>
  <c r="U193" i="1"/>
  <c r="T194" i="1"/>
  <c r="V194" i="1" s="1"/>
  <c r="U194" i="1"/>
  <c r="T195" i="1"/>
  <c r="V195" i="1" s="1"/>
  <c r="U195" i="1"/>
  <c r="T196" i="1"/>
  <c r="V196" i="1" s="1"/>
  <c r="U196" i="1"/>
  <c r="T197" i="1"/>
  <c r="V197" i="1" s="1"/>
  <c r="U197" i="1"/>
  <c r="T198" i="1"/>
  <c r="V198" i="1" s="1"/>
  <c r="U198" i="1"/>
  <c r="T199" i="1"/>
  <c r="V199" i="1" s="1"/>
  <c r="U199" i="1"/>
  <c r="T200" i="1"/>
  <c r="V200" i="1" s="1"/>
  <c r="U200" i="1"/>
  <c r="T201" i="1"/>
  <c r="V201" i="1" s="1"/>
  <c r="U201" i="1"/>
  <c r="T202" i="1"/>
  <c r="V202" i="1" s="1"/>
  <c r="U202" i="1"/>
  <c r="T203" i="1"/>
  <c r="V203" i="1" s="1"/>
  <c r="U203" i="1"/>
  <c r="T204" i="1"/>
  <c r="V204" i="1" s="1"/>
  <c r="U204" i="1"/>
  <c r="T205" i="1"/>
  <c r="V205" i="1" s="1"/>
  <c r="U205" i="1"/>
  <c r="T206" i="1"/>
  <c r="V206" i="1" s="1"/>
  <c r="U206" i="1"/>
  <c r="T207" i="1"/>
  <c r="V207" i="1" s="1"/>
  <c r="U207" i="1"/>
  <c r="T208" i="1"/>
  <c r="V208" i="1" s="1"/>
  <c r="U208" i="1"/>
  <c r="T209" i="1"/>
  <c r="V209" i="1" s="1"/>
  <c r="U209" i="1"/>
  <c r="T210" i="1"/>
  <c r="V210" i="1" s="1"/>
  <c r="U210" i="1"/>
  <c r="T211" i="1"/>
  <c r="V211" i="1" s="1"/>
  <c r="U211" i="1"/>
  <c r="T212" i="1"/>
  <c r="V212" i="1" s="1"/>
  <c r="U212" i="1"/>
  <c r="T213" i="1"/>
  <c r="V213" i="1" s="1"/>
  <c r="U213" i="1"/>
  <c r="T214" i="1"/>
  <c r="V214" i="1" s="1"/>
  <c r="U214" i="1"/>
  <c r="T215" i="1"/>
  <c r="V215" i="1" s="1"/>
  <c r="U215" i="1"/>
  <c r="T216" i="1"/>
  <c r="V216" i="1" s="1"/>
  <c r="U216" i="1"/>
  <c r="T217" i="1"/>
  <c r="V217" i="1" s="1"/>
  <c r="U217" i="1"/>
  <c r="T218" i="1"/>
  <c r="V218" i="1" s="1"/>
  <c r="U218" i="1"/>
  <c r="T219" i="1"/>
  <c r="V219" i="1" s="1"/>
  <c r="U219" i="1"/>
  <c r="T220" i="1"/>
  <c r="V220" i="1" s="1"/>
  <c r="U220" i="1"/>
  <c r="T221" i="1"/>
  <c r="V221" i="1" s="1"/>
  <c r="U221" i="1"/>
  <c r="T222" i="1"/>
  <c r="V222" i="1" s="1"/>
  <c r="U222" i="1"/>
  <c r="T223" i="1"/>
  <c r="V223" i="1" s="1"/>
  <c r="U223" i="1"/>
  <c r="T224" i="1"/>
  <c r="V224" i="1" s="1"/>
  <c r="U224" i="1"/>
  <c r="T225" i="1"/>
  <c r="V225" i="1" s="1"/>
  <c r="U225" i="1"/>
  <c r="T226" i="1"/>
  <c r="V226" i="1" s="1"/>
  <c r="U226" i="1"/>
  <c r="T227" i="1"/>
  <c r="V227" i="1" s="1"/>
  <c r="U227" i="1"/>
  <c r="T228" i="1"/>
  <c r="V228" i="1" s="1"/>
  <c r="U228" i="1"/>
  <c r="T229" i="1"/>
  <c r="V229" i="1" s="1"/>
  <c r="U229" i="1"/>
  <c r="T230" i="1"/>
  <c r="V230" i="1" s="1"/>
  <c r="U230" i="1"/>
  <c r="T231" i="1"/>
  <c r="V231" i="1" s="1"/>
  <c r="U231" i="1"/>
  <c r="T232" i="1"/>
  <c r="V232" i="1" s="1"/>
  <c r="U232" i="1"/>
  <c r="T233" i="1"/>
  <c r="V233" i="1" s="1"/>
  <c r="U233" i="1"/>
  <c r="T234" i="1"/>
  <c r="V234" i="1" s="1"/>
  <c r="U234" i="1"/>
  <c r="T235" i="1"/>
  <c r="V235" i="1" s="1"/>
  <c r="U235" i="1"/>
  <c r="T236" i="1"/>
  <c r="V236" i="1" s="1"/>
  <c r="U236" i="1"/>
  <c r="T237" i="1"/>
  <c r="V237" i="1" s="1"/>
  <c r="U237" i="1"/>
  <c r="T238" i="1"/>
  <c r="V238" i="1" s="1"/>
  <c r="U238" i="1"/>
  <c r="T239" i="1"/>
  <c r="V239" i="1" s="1"/>
  <c r="U239" i="1"/>
  <c r="T240" i="1"/>
  <c r="V240" i="1" s="1"/>
  <c r="U240" i="1"/>
  <c r="T241" i="1"/>
  <c r="V241" i="1" s="1"/>
  <c r="U241" i="1"/>
  <c r="T242" i="1"/>
  <c r="V242" i="1" s="1"/>
  <c r="U242" i="1"/>
  <c r="T243" i="1"/>
  <c r="V243" i="1" s="1"/>
  <c r="U243" i="1"/>
  <c r="T244" i="1"/>
  <c r="V244" i="1" s="1"/>
  <c r="U244" i="1"/>
  <c r="T245" i="1"/>
  <c r="V245" i="1" s="1"/>
  <c r="U245" i="1"/>
  <c r="T246" i="1"/>
  <c r="V246" i="1" s="1"/>
  <c r="U246" i="1"/>
  <c r="T247" i="1"/>
  <c r="V247" i="1" s="1"/>
  <c r="U247" i="1"/>
  <c r="T248" i="1"/>
  <c r="V248" i="1" s="1"/>
  <c r="U248" i="1"/>
  <c r="T249" i="1"/>
  <c r="V249" i="1" s="1"/>
  <c r="U249" i="1"/>
  <c r="T250" i="1"/>
  <c r="V250" i="1" s="1"/>
  <c r="U250" i="1"/>
  <c r="T251" i="1"/>
  <c r="V251" i="1" s="1"/>
  <c r="U251" i="1"/>
  <c r="T252" i="1"/>
  <c r="U252" i="1"/>
  <c r="T253" i="1"/>
  <c r="V253" i="1" s="1"/>
  <c r="U253" i="1"/>
  <c r="T254" i="1"/>
  <c r="V254" i="1" s="1"/>
  <c r="U254" i="1"/>
  <c r="T255" i="1"/>
  <c r="V255" i="1" s="1"/>
  <c r="U255" i="1"/>
  <c r="T256" i="1"/>
  <c r="V256" i="1" s="1"/>
  <c r="U256" i="1"/>
  <c r="T257" i="1"/>
  <c r="V257" i="1" s="1"/>
  <c r="U257" i="1"/>
  <c r="T258" i="1"/>
  <c r="V258" i="1" s="1"/>
  <c r="U258" i="1"/>
  <c r="T259" i="1"/>
  <c r="V259" i="1" s="1"/>
  <c r="U259" i="1"/>
  <c r="T260" i="1"/>
  <c r="V260" i="1" s="1"/>
  <c r="U260" i="1"/>
  <c r="T261" i="1"/>
  <c r="V261" i="1" s="1"/>
  <c r="U261" i="1"/>
  <c r="T262" i="1"/>
  <c r="V262" i="1" s="1"/>
  <c r="U262" i="1"/>
  <c r="T263" i="1"/>
  <c r="V263" i="1" s="1"/>
  <c r="U263" i="1"/>
  <c r="T264" i="1"/>
  <c r="V264" i="1" s="1"/>
  <c r="U264" i="1"/>
  <c r="T265" i="1"/>
  <c r="U265" i="1"/>
  <c r="T266" i="1"/>
  <c r="V266" i="1" s="1"/>
  <c r="U266" i="1"/>
  <c r="T267" i="1"/>
  <c r="V267" i="1" s="1"/>
  <c r="U267" i="1"/>
  <c r="T268" i="1"/>
  <c r="U268" i="1"/>
  <c r="T269" i="1"/>
  <c r="V269" i="1" s="1"/>
  <c r="U269" i="1"/>
  <c r="T270" i="1"/>
  <c r="V270" i="1" s="1"/>
  <c r="U270" i="1"/>
  <c r="T271" i="1"/>
  <c r="V271" i="1" s="1"/>
  <c r="U271" i="1"/>
  <c r="T272" i="1"/>
  <c r="V272" i="1" s="1"/>
  <c r="U272" i="1"/>
  <c r="T273" i="1"/>
  <c r="V273" i="1" s="1"/>
  <c r="U273" i="1"/>
  <c r="T274" i="1"/>
  <c r="V274" i="1" s="1"/>
  <c r="U274" i="1"/>
  <c r="T275" i="1"/>
  <c r="V275" i="1" s="1"/>
  <c r="U275" i="1"/>
  <c r="T276" i="1"/>
  <c r="V276" i="1" s="1"/>
  <c r="U276" i="1"/>
  <c r="T277" i="1"/>
  <c r="V277" i="1" s="1"/>
  <c r="U277" i="1"/>
  <c r="T278" i="1"/>
  <c r="V278" i="1" s="1"/>
  <c r="U278" i="1"/>
  <c r="T279" i="1"/>
  <c r="V279" i="1" s="1"/>
  <c r="U279" i="1"/>
  <c r="T280" i="1"/>
  <c r="V280" i="1" s="1"/>
  <c r="U280" i="1"/>
  <c r="T281" i="1"/>
  <c r="V281" i="1" s="1"/>
  <c r="U281" i="1"/>
  <c r="T282" i="1"/>
  <c r="V282" i="1" s="1"/>
  <c r="U282" i="1"/>
  <c r="T283" i="1"/>
  <c r="V283" i="1" s="1"/>
  <c r="U283" i="1"/>
  <c r="T284" i="1"/>
  <c r="V284" i="1" s="1"/>
  <c r="U284" i="1"/>
  <c r="T285" i="1"/>
  <c r="V285" i="1" s="1"/>
  <c r="U285" i="1"/>
  <c r="T286" i="1"/>
  <c r="V286" i="1" s="1"/>
  <c r="U286" i="1"/>
  <c r="T287" i="1"/>
  <c r="V287" i="1" s="1"/>
  <c r="U287" i="1"/>
  <c r="T288" i="1"/>
  <c r="V288" i="1" s="1"/>
  <c r="U288" i="1"/>
  <c r="T289" i="1"/>
  <c r="V289" i="1" s="1"/>
  <c r="U289" i="1"/>
  <c r="T290" i="1"/>
  <c r="V290" i="1" s="1"/>
  <c r="U290" i="1"/>
  <c r="T291" i="1"/>
  <c r="V291" i="1" s="1"/>
  <c r="U291" i="1"/>
  <c r="T292" i="1"/>
  <c r="V292" i="1" s="1"/>
  <c r="U292" i="1"/>
  <c r="T293" i="1"/>
  <c r="V293" i="1" s="1"/>
  <c r="U293" i="1"/>
  <c r="T294" i="1"/>
  <c r="V294" i="1" s="1"/>
  <c r="U294" i="1"/>
  <c r="T295" i="1"/>
  <c r="V295" i="1" s="1"/>
  <c r="U295" i="1"/>
  <c r="T296" i="1"/>
  <c r="V296" i="1" s="1"/>
  <c r="U296" i="1"/>
  <c r="T297" i="1"/>
  <c r="V297" i="1" s="1"/>
  <c r="U297" i="1"/>
  <c r="T298" i="1"/>
  <c r="V298" i="1" s="1"/>
  <c r="U298" i="1"/>
  <c r="T299" i="1"/>
  <c r="V299" i="1" s="1"/>
  <c r="U299" i="1"/>
  <c r="T300" i="1"/>
  <c r="V300" i="1" s="1"/>
  <c r="U300" i="1"/>
  <c r="T301" i="1"/>
  <c r="V301" i="1" s="1"/>
  <c r="U301" i="1"/>
  <c r="T302" i="1"/>
  <c r="V302" i="1" s="1"/>
  <c r="U302" i="1"/>
  <c r="T303" i="1"/>
  <c r="V303" i="1" s="1"/>
  <c r="U303" i="1"/>
  <c r="T304" i="1"/>
  <c r="V304" i="1" s="1"/>
  <c r="U304" i="1"/>
  <c r="T305" i="1"/>
  <c r="V305" i="1" s="1"/>
  <c r="U305" i="1"/>
  <c r="T306" i="1"/>
  <c r="V306" i="1" s="1"/>
  <c r="U306" i="1"/>
  <c r="T307" i="1"/>
  <c r="V307" i="1" s="1"/>
  <c r="U307" i="1"/>
  <c r="T308" i="1"/>
  <c r="V308" i="1" s="1"/>
  <c r="U308" i="1"/>
  <c r="T309" i="1"/>
  <c r="V309" i="1" s="1"/>
  <c r="U309" i="1"/>
  <c r="T310" i="1"/>
  <c r="V310" i="1" s="1"/>
  <c r="U310" i="1"/>
  <c r="T311" i="1"/>
  <c r="V311" i="1" s="1"/>
  <c r="U311" i="1"/>
  <c r="T312" i="1"/>
  <c r="V312" i="1" s="1"/>
  <c r="U312" i="1"/>
  <c r="T313" i="1"/>
  <c r="V313" i="1" s="1"/>
  <c r="U313" i="1"/>
  <c r="T314" i="1"/>
  <c r="V314" i="1" s="1"/>
  <c r="U314" i="1"/>
  <c r="T315" i="1"/>
  <c r="V315" i="1" s="1"/>
  <c r="U315" i="1"/>
  <c r="T316" i="1"/>
  <c r="V316" i="1" s="1"/>
  <c r="U316" i="1"/>
  <c r="T317" i="1"/>
  <c r="V317" i="1" s="1"/>
  <c r="U317" i="1"/>
  <c r="T318" i="1"/>
  <c r="V318" i="1" s="1"/>
  <c r="U318" i="1"/>
  <c r="T319" i="1"/>
  <c r="V319" i="1" s="1"/>
  <c r="U319" i="1"/>
  <c r="T320" i="1"/>
  <c r="V320" i="1" s="1"/>
  <c r="U320" i="1"/>
  <c r="T321" i="1"/>
  <c r="V321" i="1" s="1"/>
  <c r="U321" i="1"/>
  <c r="T322" i="1"/>
  <c r="V322" i="1" s="1"/>
  <c r="U322" i="1"/>
  <c r="T323" i="1"/>
  <c r="V323" i="1" s="1"/>
  <c r="U323" i="1"/>
  <c r="T324" i="1"/>
  <c r="V324" i="1" s="1"/>
  <c r="U324" i="1"/>
  <c r="T325" i="1"/>
  <c r="V325" i="1" s="1"/>
  <c r="U325" i="1"/>
  <c r="T326" i="1"/>
  <c r="V326" i="1" s="1"/>
  <c r="U326" i="1"/>
  <c r="T327" i="1"/>
  <c r="V327" i="1" s="1"/>
  <c r="U327" i="1"/>
  <c r="T328" i="1"/>
  <c r="V328" i="1" s="1"/>
  <c r="U328" i="1"/>
  <c r="T329" i="1"/>
  <c r="V329" i="1" s="1"/>
  <c r="U329" i="1"/>
  <c r="T330" i="1"/>
  <c r="V330" i="1" s="1"/>
  <c r="U330" i="1"/>
  <c r="T331" i="1"/>
  <c r="V331" i="1" s="1"/>
  <c r="U331" i="1"/>
  <c r="T332" i="1"/>
  <c r="V332" i="1" s="1"/>
  <c r="U332" i="1"/>
  <c r="T333" i="1"/>
  <c r="V333" i="1" s="1"/>
  <c r="U333" i="1"/>
  <c r="T334" i="1"/>
  <c r="V334" i="1" s="1"/>
  <c r="U334" i="1"/>
  <c r="T335" i="1"/>
  <c r="V335" i="1" s="1"/>
  <c r="U335" i="1"/>
  <c r="T336" i="1"/>
  <c r="V336" i="1" s="1"/>
  <c r="U336" i="1"/>
  <c r="T337" i="1"/>
  <c r="V337" i="1" s="1"/>
  <c r="U337" i="1"/>
  <c r="T338" i="1"/>
  <c r="V338" i="1" s="1"/>
  <c r="U338" i="1"/>
  <c r="T339" i="1"/>
  <c r="V339" i="1" s="1"/>
  <c r="U339" i="1"/>
  <c r="T340" i="1"/>
  <c r="V340" i="1" s="1"/>
  <c r="U340" i="1"/>
  <c r="T341" i="1"/>
  <c r="V341" i="1" s="1"/>
  <c r="U341" i="1"/>
  <c r="T342" i="1"/>
  <c r="V342" i="1" s="1"/>
  <c r="U342" i="1"/>
  <c r="T343" i="1"/>
  <c r="V343" i="1" s="1"/>
  <c r="U343" i="1"/>
  <c r="T344" i="1"/>
  <c r="V344" i="1" s="1"/>
  <c r="U344" i="1"/>
  <c r="T345" i="1"/>
  <c r="V345" i="1" s="1"/>
  <c r="U345" i="1"/>
  <c r="T346" i="1"/>
  <c r="V346" i="1" s="1"/>
  <c r="U346" i="1"/>
  <c r="T347" i="1"/>
  <c r="V347" i="1" s="1"/>
  <c r="U347" i="1"/>
  <c r="T348" i="1"/>
  <c r="V348" i="1" s="1"/>
  <c r="U348" i="1"/>
  <c r="T349" i="1"/>
  <c r="V349" i="1" s="1"/>
  <c r="U349" i="1"/>
  <c r="T350" i="1"/>
  <c r="V350" i="1" s="1"/>
  <c r="U350" i="1"/>
  <c r="T351" i="1"/>
  <c r="V351" i="1" s="1"/>
  <c r="U351" i="1"/>
  <c r="T352" i="1"/>
  <c r="V352" i="1" s="1"/>
  <c r="U352" i="1"/>
  <c r="T353" i="1"/>
  <c r="V353" i="1" s="1"/>
  <c r="U353" i="1"/>
  <c r="T354" i="1"/>
  <c r="V354" i="1" s="1"/>
  <c r="U354" i="1"/>
  <c r="T355" i="1"/>
  <c r="V355" i="1" s="1"/>
  <c r="U355" i="1"/>
  <c r="T356" i="1"/>
  <c r="V356" i="1" s="1"/>
  <c r="U356" i="1"/>
  <c r="T357" i="1"/>
  <c r="V357" i="1" s="1"/>
  <c r="U357" i="1"/>
  <c r="T358" i="1"/>
  <c r="V358" i="1" s="1"/>
  <c r="U358" i="1"/>
  <c r="T359" i="1"/>
  <c r="V359" i="1" s="1"/>
  <c r="U359" i="1"/>
  <c r="T360" i="1"/>
  <c r="V360" i="1" s="1"/>
  <c r="U360" i="1"/>
  <c r="T361" i="1"/>
  <c r="V361" i="1" s="1"/>
  <c r="U361" i="1"/>
  <c r="T362" i="1"/>
  <c r="V362" i="1" s="1"/>
  <c r="U362" i="1"/>
  <c r="T363" i="1"/>
  <c r="V363" i="1" s="1"/>
  <c r="U363" i="1"/>
  <c r="T364" i="1"/>
  <c r="V364" i="1" s="1"/>
  <c r="U364" i="1"/>
  <c r="T365" i="1"/>
  <c r="V365" i="1" s="1"/>
  <c r="U365" i="1"/>
  <c r="T366" i="1"/>
  <c r="V366" i="1" s="1"/>
  <c r="U366" i="1"/>
  <c r="T367" i="1"/>
  <c r="V367" i="1" s="1"/>
  <c r="U367" i="1"/>
  <c r="T368" i="1"/>
  <c r="V368" i="1" s="1"/>
  <c r="U368" i="1"/>
  <c r="T369" i="1"/>
  <c r="V369" i="1" s="1"/>
  <c r="U369" i="1"/>
  <c r="T370" i="1"/>
  <c r="V370" i="1" s="1"/>
  <c r="U370" i="1"/>
  <c r="T371" i="1"/>
  <c r="V371" i="1" s="1"/>
  <c r="U371" i="1"/>
  <c r="T372" i="1"/>
  <c r="V372" i="1" s="1"/>
  <c r="U372" i="1"/>
  <c r="T373" i="1"/>
  <c r="V373" i="1" s="1"/>
  <c r="U373" i="1"/>
  <c r="T374" i="1"/>
  <c r="V374" i="1" s="1"/>
  <c r="U374" i="1"/>
  <c r="T375" i="1"/>
  <c r="V375" i="1" s="1"/>
  <c r="U375" i="1"/>
  <c r="T376" i="1"/>
  <c r="V376" i="1" s="1"/>
  <c r="U376" i="1"/>
  <c r="T377" i="1"/>
  <c r="V377" i="1" s="1"/>
  <c r="U377" i="1"/>
  <c r="T378" i="1"/>
  <c r="V378" i="1" s="1"/>
  <c r="U378" i="1"/>
  <c r="T379" i="1"/>
  <c r="V379" i="1" s="1"/>
  <c r="U379" i="1"/>
  <c r="T380" i="1"/>
  <c r="V380" i="1" s="1"/>
  <c r="U380" i="1"/>
  <c r="T381" i="1"/>
  <c r="V381" i="1" s="1"/>
  <c r="U381" i="1"/>
  <c r="T382" i="1"/>
  <c r="V382" i="1" s="1"/>
  <c r="U382" i="1"/>
  <c r="T383" i="1"/>
  <c r="V383" i="1" s="1"/>
  <c r="U383" i="1"/>
  <c r="T384" i="1"/>
  <c r="V384" i="1" s="1"/>
  <c r="U384" i="1"/>
  <c r="T385" i="1"/>
  <c r="V385" i="1" s="1"/>
  <c r="U385" i="1"/>
  <c r="T386" i="1"/>
  <c r="V386" i="1" s="1"/>
  <c r="U386" i="1"/>
  <c r="T387" i="1"/>
  <c r="V387" i="1" s="1"/>
  <c r="U387" i="1"/>
  <c r="T388" i="1"/>
  <c r="V388" i="1" s="1"/>
  <c r="U388" i="1"/>
  <c r="T389" i="1"/>
  <c r="V389" i="1" s="1"/>
  <c r="U389" i="1"/>
  <c r="T390" i="1"/>
  <c r="V390" i="1" s="1"/>
  <c r="U390" i="1"/>
  <c r="T391" i="1"/>
  <c r="V391" i="1" s="1"/>
  <c r="U391" i="1"/>
  <c r="T392" i="1"/>
  <c r="V392" i="1" s="1"/>
  <c r="U392" i="1"/>
  <c r="T393" i="1"/>
  <c r="V393" i="1" s="1"/>
  <c r="U393" i="1"/>
  <c r="T394" i="1"/>
  <c r="V394" i="1" s="1"/>
  <c r="U394" i="1"/>
  <c r="T395" i="1"/>
  <c r="V395" i="1" s="1"/>
  <c r="U395" i="1"/>
  <c r="T396" i="1"/>
  <c r="U396" i="1"/>
  <c r="T397" i="1"/>
  <c r="V397" i="1" s="1"/>
  <c r="U397" i="1"/>
  <c r="T398" i="1"/>
  <c r="V398" i="1" s="1"/>
  <c r="U398" i="1"/>
  <c r="T399" i="1"/>
  <c r="V399" i="1" s="1"/>
  <c r="U399" i="1"/>
  <c r="T400" i="1"/>
  <c r="V400" i="1" s="1"/>
  <c r="U400" i="1"/>
  <c r="T401" i="1"/>
  <c r="V401" i="1" s="1"/>
  <c r="U401" i="1"/>
  <c r="T402" i="1"/>
  <c r="V402" i="1" s="1"/>
  <c r="U402" i="1"/>
  <c r="T403" i="1"/>
  <c r="V403" i="1" s="1"/>
  <c r="U403" i="1"/>
  <c r="T404" i="1"/>
  <c r="V404" i="1" s="1"/>
  <c r="U404" i="1"/>
  <c r="T405" i="1"/>
  <c r="V405" i="1" s="1"/>
  <c r="U405" i="1"/>
  <c r="T406" i="1"/>
  <c r="V406" i="1" s="1"/>
  <c r="U406" i="1"/>
  <c r="T407" i="1"/>
  <c r="V407" i="1" s="1"/>
  <c r="U407" i="1"/>
  <c r="T408" i="1"/>
  <c r="V408" i="1" s="1"/>
  <c r="U408" i="1"/>
  <c r="T409" i="1"/>
  <c r="V409" i="1" s="1"/>
  <c r="U409" i="1"/>
  <c r="T410" i="1"/>
  <c r="V410" i="1" s="1"/>
  <c r="U410" i="1"/>
  <c r="T411" i="1"/>
  <c r="V411" i="1" s="1"/>
  <c r="U411" i="1"/>
  <c r="T412" i="1"/>
  <c r="U412" i="1"/>
  <c r="T413" i="1"/>
  <c r="V413" i="1" s="1"/>
  <c r="U413" i="1"/>
  <c r="T414" i="1"/>
  <c r="V414" i="1" s="1"/>
  <c r="U414" i="1"/>
  <c r="T415" i="1"/>
  <c r="V415" i="1" s="1"/>
  <c r="U415" i="1"/>
  <c r="T416" i="1"/>
  <c r="V416" i="1" s="1"/>
  <c r="U416" i="1"/>
  <c r="T417" i="1"/>
  <c r="V417" i="1" s="1"/>
  <c r="U417" i="1"/>
  <c r="T418" i="1"/>
  <c r="V418" i="1" s="1"/>
  <c r="U418" i="1"/>
  <c r="T419" i="1"/>
  <c r="V419" i="1" s="1"/>
  <c r="U419" i="1"/>
  <c r="T420" i="1"/>
  <c r="V420" i="1" s="1"/>
  <c r="U420" i="1"/>
  <c r="T421" i="1"/>
  <c r="V421" i="1" s="1"/>
  <c r="U421" i="1"/>
  <c r="T422" i="1"/>
  <c r="V422" i="1" s="1"/>
  <c r="U422" i="1"/>
  <c r="T423" i="1"/>
  <c r="V423" i="1" s="1"/>
  <c r="U423" i="1"/>
  <c r="T424" i="1"/>
  <c r="V424" i="1" s="1"/>
  <c r="U424" i="1"/>
  <c r="T425" i="1"/>
  <c r="V425" i="1" s="1"/>
  <c r="U425" i="1"/>
  <c r="T426" i="1"/>
  <c r="V426" i="1" s="1"/>
  <c r="U426" i="1"/>
  <c r="T427" i="1"/>
  <c r="V427" i="1" s="1"/>
  <c r="U427" i="1"/>
  <c r="T428" i="1"/>
  <c r="V428" i="1" s="1"/>
  <c r="U428" i="1"/>
  <c r="T429" i="1"/>
  <c r="V429" i="1" s="1"/>
  <c r="U429" i="1"/>
  <c r="T430" i="1"/>
  <c r="V430" i="1" s="1"/>
  <c r="U430" i="1"/>
  <c r="T431" i="1"/>
  <c r="V431" i="1" s="1"/>
  <c r="U431" i="1"/>
  <c r="T432" i="1"/>
  <c r="V432" i="1" s="1"/>
  <c r="U432" i="1"/>
  <c r="T433" i="1"/>
  <c r="V433" i="1" s="1"/>
  <c r="U433" i="1"/>
  <c r="T434" i="1"/>
  <c r="V434" i="1" s="1"/>
  <c r="U434" i="1"/>
  <c r="T435" i="1"/>
  <c r="V435" i="1" s="1"/>
  <c r="U435" i="1"/>
  <c r="T436" i="1"/>
  <c r="V436" i="1" s="1"/>
  <c r="U436" i="1"/>
  <c r="T437" i="1"/>
  <c r="V437" i="1" s="1"/>
  <c r="U437" i="1"/>
  <c r="T438" i="1"/>
  <c r="V438" i="1" s="1"/>
  <c r="U438" i="1"/>
  <c r="T439" i="1"/>
  <c r="V439" i="1" s="1"/>
  <c r="U439" i="1"/>
  <c r="T440" i="1"/>
  <c r="V440" i="1" s="1"/>
  <c r="U440" i="1"/>
  <c r="T441" i="1"/>
  <c r="V441" i="1" s="1"/>
  <c r="U441" i="1"/>
  <c r="T442" i="1"/>
  <c r="V442" i="1" s="1"/>
  <c r="U442" i="1"/>
  <c r="T443" i="1"/>
  <c r="V443" i="1" s="1"/>
  <c r="U443" i="1"/>
  <c r="T444" i="1"/>
  <c r="V444" i="1" s="1"/>
  <c r="U444" i="1"/>
  <c r="T445" i="1"/>
  <c r="V445" i="1" s="1"/>
  <c r="U445" i="1"/>
  <c r="T446" i="1"/>
  <c r="V446" i="1" s="1"/>
  <c r="U446" i="1"/>
  <c r="T447" i="1"/>
  <c r="V447" i="1" s="1"/>
  <c r="U447" i="1"/>
  <c r="T448" i="1"/>
  <c r="V448" i="1" s="1"/>
  <c r="U448" i="1"/>
  <c r="T449" i="1"/>
  <c r="V449" i="1" s="1"/>
  <c r="U449" i="1"/>
  <c r="T450" i="1"/>
  <c r="V450" i="1" s="1"/>
  <c r="U450" i="1"/>
  <c r="T451" i="1"/>
  <c r="V451" i="1" s="1"/>
  <c r="U451" i="1"/>
  <c r="T452" i="1"/>
  <c r="V452" i="1" s="1"/>
  <c r="U452" i="1"/>
  <c r="T453" i="1"/>
  <c r="V453" i="1" s="1"/>
  <c r="U453" i="1"/>
  <c r="T454" i="1"/>
  <c r="V454" i="1" s="1"/>
  <c r="U454" i="1"/>
  <c r="T455" i="1"/>
  <c r="V455" i="1" s="1"/>
  <c r="U455" i="1"/>
  <c r="T456" i="1"/>
  <c r="V456" i="1" s="1"/>
  <c r="U456" i="1"/>
  <c r="T457" i="1"/>
  <c r="V457" i="1" s="1"/>
  <c r="U457" i="1"/>
  <c r="T458" i="1"/>
  <c r="V458" i="1" s="1"/>
  <c r="U458" i="1"/>
  <c r="T459" i="1"/>
  <c r="V459" i="1" s="1"/>
  <c r="U459" i="1"/>
  <c r="T460" i="1"/>
  <c r="V460" i="1" s="1"/>
  <c r="U460" i="1"/>
  <c r="T461" i="1"/>
  <c r="V461" i="1" s="1"/>
  <c r="U461" i="1"/>
  <c r="T462" i="1"/>
  <c r="V462" i="1" s="1"/>
  <c r="U462" i="1"/>
  <c r="T463" i="1"/>
  <c r="V463" i="1" s="1"/>
  <c r="U463" i="1"/>
  <c r="T464" i="1"/>
  <c r="V464" i="1" s="1"/>
  <c r="U464" i="1"/>
  <c r="T465" i="1"/>
  <c r="V465" i="1" s="1"/>
  <c r="U465" i="1"/>
  <c r="T466" i="1"/>
  <c r="V466" i="1" s="1"/>
  <c r="U466" i="1"/>
  <c r="T467" i="1"/>
  <c r="V467" i="1" s="1"/>
  <c r="U467" i="1"/>
  <c r="T468" i="1"/>
  <c r="V468" i="1" s="1"/>
  <c r="U468" i="1"/>
  <c r="T469" i="1"/>
  <c r="V469" i="1" s="1"/>
  <c r="U469" i="1"/>
  <c r="T470" i="1"/>
  <c r="V470" i="1" s="1"/>
  <c r="U470" i="1"/>
  <c r="T471" i="1"/>
  <c r="V471" i="1" s="1"/>
  <c r="U471" i="1"/>
  <c r="T472" i="1"/>
  <c r="V472" i="1" s="1"/>
  <c r="U472" i="1"/>
  <c r="T473" i="1"/>
  <c r="V473" i="1" s="1"/>
  <c r="U473" i="1"/>
  <c r="T474" i="1"/>
  <c r="V474" i="1" s="1"/>
  <c r="U474" i="1"/>
  <c r="T475" i="1"/>
  <c r="V475" i="1" s="1"/>
  <c r="U475" i="1"/>
  <c r="T476" i="1"/>
  <c r="V476" i="1" s="1"/>
  <c r="U476" i="1"/>
  <c r="T477" i="1"/>
  <c r="V477" i="1" s="1"/>
  <c r="U477" i="1"/>
  <c r="T478" i="1"/>
  <c r="V478" i="1" s="1"/>
  <c r="U478" i="1"/>
  <c r="T479" i="1"/>
  <c r="V479" i="1" s="1"/>
  <c r="U479" i="1"/>
  <c r="T480" i="1"/>
  <c r="V480" i="1" s="1"/>
  <c r="U480" i="1"/>
  <c r="T481" i="1"/>
  <c r="V481" i="1" s="1"/>
  <c r="U481" i="1"/>
  <c r="T482" i="1"/>
  <c r="V482" i="1" s="1"/>
  <c r="U482" i="1"/>
  <c r="T483" i="1"/>
  <c r="V483" i="1" s="1"/>
  <c r="U483" i="1"/>
  <c r="T484" i="1"/>
  <c r="V484" i="1" s="1"/>
  <c r="U484" i="1"/>
  <c r="T485" i="1"/>
  <c r="V485" i="1" s="1"/>
  <c r="U485" i="1"/>
  <c r="T486" i="1"/>
  <c r="V486" i="1" s="1"/>
  <c r="U486" i="1"/>
  <c r="T487" i="1"/>
  <c r="V487" i="1" s="1"/>
  <c r="U487" i="1"/>
  <c r="T488" i="1"/>
  <c r="V488" i="1" s="1"/>
  <c r="U488" i="1"/>
  <c r="T489" i="1"/>
  <c r="V489" i="1" s="1"/>
  <c r="U489" i="1"/>
  <c r="T490" i="1"/>
  <c r="V490" i="1" s="1"/>
  <c r="U490" i="1"/>
  <c r="T491" i="1"/>
  <c r="V491" i="1" s="1"/>
  <c r="U491" i="1"/>
  <c r="T492" i="1"/>
  <c r="V492" i="1" s="1"/>
  <c r="U492" i="1"/>
  <c r="T493" i="1"/>
  <c r="V493" i="1" s="1"/>
  <c r="U493" i="1"/>
  <c r="T494" i="1"/>
  <c r="V494" i="1" s="1"/>
  <c r="U494" i="1"/>
  <c r="T495" i="1"/>
  <c r="V495" i="1" s="1"/>
  <c r="U495" i="1"/>
  <c r="T496" i="1"/>
  <c r="V496" i="1" s="1"/>
  <c r="U496" i="1"/>
  <c r="T497" i="1"/>
  <c r="V497" i="1" s="1"/>
  <c r="U497" i="1"/>
  <c r="T498" i="1"/>
  <c r="V498" i="1" s="1"/>
  <c r="U498" i="1"/>
  <c r="T499" i="1"/>
  <c r="V499" i="1" s="1"/>
  <c r="U499" i="1"/>
  <c r="T500" i="1"/>
  <c r="V500" i="1" s="1"/>
  <c r="U500" i="1"/>
  <c r="T501" i="1"/>
  <c r="V501" i="1" s="1"/>
  <c r="U501" i="1"/>
  <c r="T502" i="1"/>
  <c r="V502" i="1" s="1"/>
  <c r="U502" i="1"/>
  <c r="T503" i="1"/>
  <c r="V503" i="1" s="1"/>
  <c r="U503" i="1"/>
  <c r="T504" i="1"/>
  <c r="V504" i="1" s="1"/>
  <c r="U504" i="1"/>
  <c r="T505" i="1"/>
  <c r="V505" i="1" s="1"/>
  <c r="U505" i="1"/>
  <c r="T506" i="1"/>
  <c r="V506" i="1" s="1"/>
  <c r="U506" i="1"/>
  <c r="T507" i="1"/>
  <c r="V507" i="1" s="1"/>
  <c r="U507" i="1"/>
  <c r="T508" i="1"/>
  <c r="V508" i="1" s="1"/>
  <c r="U508" i="1"/>
  <c r="T509" i="1"/>
  <c r="V509" i="1" s="1"/>
  <c r="U509" i="1"/>
  <c r="T510" i="1"/>
  <c r="V510" i="1" s="1"/>
  <c r="U510" i="1"/>
  <c r="T511" i="1"/>
  <c r="V511" i="1" s="1"/>
  <c r="U511" i="1"/>
  <c r="T512" i="1"/>
  <c r="V512" i="1" s="1"/>
  <c r="U512" i="1"/>
  <c r="T513" i="1"/>
  <c r="V513" i="1" s="1"/>
  <c r="U513" i="1"/>
  <c r="T514" i="1"/>
  <c r="V514" i="1" s="1"/>
  <c r="U514" i="1"/>
  <c r="T515" i="1"/>
  <c r="V515" i="1" s="1"/>
  <c r="U515" i="1"/>
  <c r="T516" i="1"/>
  <c r="V516" i="1" s="1"/>
  <c r="U516" i="1"/>
  <c r="T517" i="1"/>
  <c r="V517" i="1" s="1"/>
  <c r="U517" i="1"/>
  <c r="T518" i="1"/>
  <c r="V518" i="1" s="1"/>
  <c r="U518" i="1"/>
  <c r="T519" i="1"/>
  <c r="V519" i="1" s="1"/>
  <c r="U519" i="1"/>
  <c r="T520" i="1"/>
  <c r="V520" i="1" s="1"/>
  <c r="U520" i="1"/>
  <c r="T521" i="1"/>
  <c r="V521" i="1" s="1"/>
  <c r="U521" i="1"/>
  <c r="T522" i="1"/>
  <c r="V522" i="1" s="1"/>
  <c r="U522" i="1"/>
  <c r="T523" i="1"/>
  <c r="V523" i="1" s="1"/>
  <c r="U523" i="1"/>
  <c r="T524" i="1"/>
  <c r="V524" i="1" s="1"/>
  <c r="U524" i="1"/>
  <c r="T525" i="1"/>
  <c r="V525" i="1" s="1"/>
  <c r="U525" i="1"/>
  <c r="T526" i="1"/>
  <c r="V526" i="1" s="1"/>
  <c r="U526" i="1"/>
  <c r="T527" i="1"/>
  <c r="V527" i="1" s="1"/>
  <c r="U527" i="1"/>
  <c r="T528" i="1"/>
  <c r="V528" i="1" s="1"/>
  <c r="U528" i="1"/>
  <c r="T529" i="1"/>
  <c r="V529" i="1" s="1"/>
  <c r="U529" i="1"/>
  <c r="T530" i="1"/>
  <c r="V530" i="1" s="1"/>
  <c r="U530" i="1"/>
  <c r="T531" i="1"/>
  <c r="V531" i="1" s="1"/>
  <c r="U531" i="1"/>
  <c r="T532" i="1"/>
  <c r="V532" i="1" s="1"/>
  <c r="U532" i="1"/>
  <c r="T533" i="1"/>
  <c r="V533" i="1" s="1"/>
  <c r="U533" i="1"/>
  <c r="T534" i="1"/>
  <c r="V534" i="1" s="1"/>
  <c r="U534" i="1"/>
  <c r="T535" i="1"/>
  <c r="V535" i="1" s="1"/>
  <c r="U535" i="1"/>
  <c r="T536" i="1"/>
  <c r="V536" i="1" s="1"/>
  <c r="U536" i="1"/>
  <c r="T537" i="1"/>
  <c r="V537" i="1" s="1"/>
  <c r="U537" i="1"/>
  <c r="T538" i="1"/>
  <c r="V538" i="1" s="1"/>
  <c r="U538" i="1"/>
  <c r="T539" i="1"/>
  <c r="V539" i="1" s="1"/>
  <c r="U539" i="1"/>
  <c r="T540" i="1"/>
  <c r="V540" i="1" s="1"/>
  <c r="U540" i="1"/>
  <c r="T541" i="1"/>
  <c r="V541" i="1" s="1"/>
  <c r="U541" i="1"/>
  <c r="T542" i="1"/>
  <c r="V542" i="1" s="1"/>
  <c r="U542" i="1"/>
  <c r="T543" i="1"/>
  <c r="V543" i="1" s="1"/>
  <c r="U543" i="1"/>
  <c r="T544" i="1"/>
  <c r="V544" i="1" s="1"/>
  <c r="U544" i="1"/>
  <c r="T545" i="1"/>
  <c r="V545" i="1" s="1"/>
  <c r="U545" i="1"/>
  <c r="T546" i="1"/>
  <c r="V546" i="1" s="1"/>
  <c r="U546" i="1"/>
  <c r="T547" i="1"/>
  <c r="V547" i="1" s="1"/>
  <c r="U547" i="1"/>
  <c r="T548" i="1"/>
  <c r="V548" i="1" s="1"/>
  <c r="U548" i="1"/>
  <c r="T549" i="1"/>
  <c r="V549" i="1" s="1"/>
  <c r="U549" i="1"/>
  <c r="T550" i="1"/>
  <c r="V550" i="1" s="1"/>
  <c r="U550" i="1"/>
  <c r="T551" i="1"/>
  <c r="V551" i="1" s="1"/>
  <c r="U551" i="1"/>
  <c r="T552" i="1"/>
  <c r="V552" i="1" s="1"/>
  <c r="U552" i="1"/>
  <c r="T553" i="1"/>
  <c r="V553" i="1" s="1"/>
  <c r="U553" i="1"/>
  <c r="T554" i="1"/>
  <c r="V554" i="1" s="1"/>
  <c r="U554" i="1"/>
  <c r="T555" i="1"/>
  <c r="V555" i="1" s="1"/>
  <c r="U555" i="1"/>
  <c r="T556" i="1"/>
  <c r="V556" i="1" s="1"/>
  <c r="U556" i="1"/>
  <c r="T557" i="1"/>
  <c r="V557" i="1" s="1"/>
  <c r="U557" i="1"/>
  <c r="T558" i="1"/>
  <c r="V558" i="1" s="1"/>
  <c r="U558" i="1"/>
  <c r="T559" i="1"/>
  <c r="V559" i="1" s="1"/>
  <c r="U559" i="1"/>
  <c r="T560" i="1"/>
  <c r="V560" i="1" s="1"/>
  <c r="U560" i="1"/>
  <c r="T561" i="1"/>
  <c r="V561" i="1" s="1"/>
  <c r="U561" i="1"/>
  <c r="T562" i="1"/>
  <c r="V562" i="1" s="1"/>
  <c r="U562" i="1"/>
  <c r="T563" i="1"/>
  <c r="V563" i="1" s="1"/>
  <c r="U563" i="1"/>
  <c r="T564" i="1"/>
  <c r="U564" i="1"/>
  <c r="T565" i="1"/>
  <c r="V565" i="1" s="1"/>
  <c r="U565" i="1"/>
  <c r="T566" i="1"/>
  <c r="V566" i="1" s="1"/>
  <c r="U566" i="1"/>
  <c r="T567" i="1"/>
  <c r="V567" i="1" s="1"/>
  <c r="U567" i="1"/>
  <c r="T568" i="1"/>
  <c r="V568" i="1" s="1"/>
  <c r="U568" i="1"/>
  <c r="T569" i="1"/>
  <c r="V569" i="1" s="1"/>
  <c r="U569" i="1"/>
  <c r="T570" i="1"/>
  <c r="V570" i="1" s="1"/>
  <c r="U570" i="1"/>
  <c r="T571" i="1"/>
  <c r="V571" i="1" s="1"/>
  <c r="U571" i="1"/>
  <c r="T572" i="1"/>
  <c r="V572" i="1" s="1"/>
  <c r="U572" i="1"/>
  <c r="T573" i="1"/>
  <c r="V573" i="1" s="1"/>
  <c r="U573" i="1"/>
  <c r="T574" i="1"/>
  <c r="V574" i="1" s="1"/>
  <c r="U574" i="1"/>
  <c r="T575" i="1"/>
  <c r="V575" i="1" s="1"/>
  <c r="U575" i="1"/>
  <c r="T576" i="1"/>
  <c r="V576" i="1" s="1"/>
  <c r="U576" i="1"/>
  <c r="T577" i="1"/>
  <c r="U577" i="1"/>
  <c r="T578" i="1"/>
  <c r="V578" i="1" s="1"/>
  <c r="U578" i="1"/>
  <c r="T579" i="1"/>
  <c r="V579" i="1" s="1"/>
  <c r="U579" i="1"/>
  <c r="T580" i="1"/>
  <c r="V580" i="1" s="1"/>
  <c r="U580" i="1"/>
  <c r="T581" i="1"/>
  <c r="V581" i="1" s="1"/>
  <c r="U581" i="1"/>
  <c r="T582" i="1"/>
  <c r="V582" i="1" s="1"/>
  <c r="U582" i="1"/>
  <c r="T583" i="1"/>
  <c r="V583" i="1" s="1"/>
  <c r="U583" i="1"/>
  <c r="T584" i="1"/>
  <c r="V584" i="1" s="1"/>
  <c r="U584" i="1"/>
  <c r="T585" i="1"/>
  <c r="V585" i="1" s="1"/>
  <c r="U585" i="1"/>
  <c r="T586" i="1"/>
  <c r="V586" i="1" s="1"/>
  <c r="U586" i="1"/>
  <c r="T587" i="1"/>
  <c r="V587" i="1" s="1"/>
  <c r="U587" i="1"/>
  <c r="T588" i="1"/>
  <c r="V588" i="1" s="1"/>
  <c r="U588" i="1"/>
  <c r="T589" i="1"/>
  <c r="V589" i="1" s="1"/>
  <c r="U589" i="1"/>
  <c r="T590" i="1"/>
  <c r="V590" i="1" s="1"/>
  <c r="U590" i="1"/>
  <c r="T591" i="1"/>
  <c r="V591" i="1" s="1"/>
  <c r="U591" i="1"/>
  <c r="T592" i="1"/>
  <c r="V592" i="1" s="1"/>
  <c r="U592" i="1"/>
  <c r="T593" i="1"/>
  <c r="V593" i="1" s="1"/>
  <c r="U593" i="1"/>
  <c r="T594" i="1"/>
  <c r="V594" i="1" s="1"/>
  <c r="U594" i="1"/>
  <c r="T595" i="1"/>
  <c r="V595" i="1" s="1"/>
  <c r="U595" i="1"/>
  <c r="T596" i="1"/>
  <c r="V596" i="1" s="1"/>
  <c r="U596" i="1"/>
  <c r="T597" i="1"/>
  <c r="V597" i="1" s="1"/>
  <c r="U597" i="1"/>
  <c r="T598" i="1"/>
  <c r="V598" i="1" s="1"/>
  <c r="U598" i="1"/>
  <c r="T599" i="1"/>
  <c r="V599" i="1" s="1"/>
  <c r="U599" i="1"/>
  <c r="T600" i="1"/>
  <c r="V600" i="1" s="1"/>
  <c r="U600" i="1"/>
  <c r="T601" i="1"/>
  <c r="V601" i="1" s="1"/>
  <c r="U601" i="1"/>
  <c r="T602" i="1"/>
  <c r="V602" i="1" s="1"/>
  <c r="U602" i="1"/>
  <c r="T603" i="1"/>
  <c r="V603" i="1" s="1"/>
  <c r="U603" i="1"/>
  <c r="T604" i="1"/>
  <c r="V604" i="1" s="1"/>
  <c r="U604" i="1"/>
  <c r="T605" i="1"/>
  <c r="V605" i="1" s="1"/>
  <c r="U605" i="1"/>
  <c r="T606" i="1"/>
  <c r="V606" i="1" s="1"/>
  <c r="U606" i="1"/>
  <c r="T607" i="1"/>
  <c r="V607" i="1" s="1"/>
  <c r="U607" i="1"/>
  <c r="T608" i="1"/>
  <c r="V608" i="1" s="1"/>
  <c r="U608" i="1"/>
  <c r="T609" i="1"/>
  <c r="V609" i="1" s="1"/>
  <c r="U609" i="1"/>
  <c r="T610" i="1"/>
  <c r="V610" i="1" s="1"/>
  <c r="U610" i="1"/>
  <c r="T611" i="1"/>
  <c r="V611" i="1" s="1"/>
  <c r="U611" i="1"/>
  <c r="T612" i="1"/>
  <c r="V612" i="1" s="1"/>
  <c r="U612" i="1"/>
  <c r="T613" i="1"/>
  <c r="V613" i="1" s="1"/>
  <c r="U613" i="1"/>
  <c r="T614" i="1"/>
  <c r="V614" i="1" s="1"/>
  <c r="U614" i="1"/>
  <c r="T615" i="1"/>
  <c r="V615" i="1" s="1"/>
  <c r="U615" i="1"/>
  <c r="T616" i="1"/>
  <c r="V616" i="1" s="1"/>
  <c r="U616" i="1"/>
  <c r="T617" i="1"/>
  <c r="V617" i="1" s="1"/>
  <c r="U617" i="1"/>
  <c r="T618" i="1"/>
  <c r="V618" i="1" s="1"/>
  <c r="U618" i="1"/>
  <c r="T619" i="1"/>
  <c r="V619" i="1" s="1"/>
  <c r="U619" i="1"/>
  <c r="T620" i="1"/>
  <c r="V620" i="1" s="1"/>
  <c r="U620" i="1"/>
  <c r="T621" i="1"/>
  <c r="V621" i="1" s="1"/>
  <c r="U621" i="1"/>
  <c r="T622" i="1"/>
  <c r="V622" i="1" s="1"/>
  <c r="U622" i="1"/>
  <c r="T623" i="1"/>
  <c r="V623" i="1" s="1"/>
  <c r="U623" i="1"/>
  <c r="T624" i="1"/>
  <c r="V624" i="1" s="1"/>
  <c r="U624" i="1"/>
  <c r="T625" i="1"/>
  <c r="V625" i="1" s="1"/>
  <c r="U625" i="1"/>
  <c r="T626" i="1"/>
  <c r="V626" i="1" s="1"/>
  <c r="U626" i="1"/>
  <c r="T627" i="1"/>
  <c r="V627" i="1" s="1"/>
  <c r="U627" i="1"/>
  <c r="T628" i="1"/>
  <c r="V628" i="1" s="1"/>
  <c r="U628" i="1"/>
  <c r="T629" i="1"/>
  <c r="V629" i="1" s="1"/>
  <c r="U629" i="1"/>
  <c r="T630" i="1"/>
  <c r="V630" i="1" s="1"/>
  <c r="U630" i="1"/>
  <c r="T631" i="1"/>
  <c r="V631" i="1" s="1"/>
  <c r="U631" i="1"/>
  <c r="T632" i="1"/>
  <c r="V632" i="1" s="1"/>
  <c r="U632" i="1"/>
  <c r="T633" i="1"/>
  <c r="V633" i="1" s="1"/>
  <c r="U633" i="1"/>
  <c r="T634" i="1"/>
  <c r="V634" i="1" s="1"/>
  <c r="U634" i="1"/>
  <c r="T635" i="1"/>
  <c r="V635" i="1" s="1"/>
  <c r="U635" i="1"/>
  <c r="T636" i="1"/>
  <c r="V636" i="1" s="1"/>
  <c r="U636" i="1"/>
  <c r="T637" i="1"/>
  <c r="V637" i="1" s="1"/>
  <c r="U637" i="1"/>
  <c r="T638" i="1"/>
  <c r="V638" i="1" s="1"/>
  <c r="U638" i="1"/>
  <c r="T639" i="1"/>
  <c r="V639" i="1" s="1"/>
  <c r="U639" i="1"/>
  <c r="T640" i="1"/>
  <c r="V640" i="1" s="1"/>
  <c r="U640" i="1"/>
  <c r="T641" i="1"/>
  <c r="V641" i="1" s="1"/>
  <c r="U641" i="1"/>
  <c r="T642" i="1"/>
  <c r="V642" i="1" s="1"/>
  <c r="U642" i="1"/>
  <c r="T643" i="1"/>
  <c r="V643" i="1" s="1"/>
  <c r="U643" i="1"/>
  <c r="T644" i="1"/>
  <c r="V644" i="1" s="1"/>
  <c r="U644" i="1"/>
  <c r="T645" i="1"/>
  <c r="V645" i="1" s="1"/>
  <c r="U645" i="1"/>
  <c r="T646" i="1"/>
  <c r="V646" i="1" s="1"/>
  <c r="U646" i="1"/>
  <c r="T647" i="1"/>
  <c r="V647" i="1" s="1"/>
  <c r="U647" i="1"/>
  <c r="T648" i="1"/>
  <c r="V648" i="1" s="1"/>
  <c r="U648" i="1"/>
  <c r="T649" i="1"/>
  <c r="V649" i="1" s="1"/>
  <c r="U649" i="1"/>
  <c r="T650" i="1"/>
  <c r="V650" i="1" s="1"/>
  <c r="U650" i="1"/>
  <c r="T651" i="1"/>
  <c r="V651" i="1" s="1"/>
  <c r="U651" i="1"/>
  <c r="T652" i="1"/>
  <c r="V652" i="1" s="1"/>
  <c r="U652" i="1"/>
  <c r="T653" i="1"/>
  <c r="V653" i="1" s="1"/>
  <c r="U653" i="1"/>
  <c r="T654" i="1"/>
  <c r="V654" i="1" s="1"/>
  <c r="U654" i="1"/>
  <c r="T655" i="1"/>
  <c r="V655" i="1" s="1"/>
  <c r="U655" i="1"/>
  <c r="T656" i="1"/>
  <c r="V656" i="1" s="1"/>
  <c r="U656" i="1"/>
  <c r="T657" i="1"/>
  <c r="V657" i="1" s="1"/>
  <c r="U657" i="1"/>
  <c r="T658" i="1"/>
  <c r="V658" i="1" s="1"/>
  <c r="U658" i="1"/>
  <c r="T659" i="1"/>
  <c r="V659" i="1" s="1"/>
  <c r="U659" i="1"/>
  <c r="T660" i="1"/>
  <c r="V660" i="1" s="1"/>
  <c r="U660" i="1"/>
  <c r="T661" i="1"/>
  <c r="V661" i="1" s="1"/>
  <c r="U661" i="1"/>
  <c r="T662" i="1"/>
  <c r="V662" i="1" s="1"/>
  <c r="U662" i="1"/>
  <c r="T663" i="1"/>
  <c r="V663" i="1" s="1"/>
  <c r="U663" i="1"/>
  <c r="T664" i="1"/>
  <c r="V664" i="1" s="1"/>
  <c r="U664" i="1"/>
  <c r="T665" i="1"/>
  <c r="V665" i="1" s="1"/>
  <c r="U665" i="1"/>
  <c r="T666" i="1"/>
  <c r="V666" i="1" s="1"/>
  <c r="U666" i="1"/>
  <c r="T667" i="1"/>
  <c r="V667" i="1" s="1"/>
  <c r="U667" i="1"/>
  <c r="T668" i="1"/>
  <c r="V668" i="1" s="1"/>
  <c r="U668" i="1"/>
  <c r="T669" i="1"/>
  <c r="V669" i="1" s="1"/>
  <c r="U669" i="1"/>
  <c r="T670" i="1"/>
  <c r="V670" i="1" s="1"/>
  <c r="U670" i="1"/>
  <c r="T671" i="1"/>
  <c r="V671" i="1" s="1"/>
  <c r="U671" i="1"/>
  <c r="T672" i="1"/>
  <c r="V672" i="1" s="1"/>
  <c r="U672" i="1"/>
  <c r="T673" i="1"/>
  <c r="V673" i="1" s="1"/>
  <c r="U673" i="1"/>
  <c r="T674" i="1"/>
  <c r="V674" i="1" s="1"/>
  <c r="U674" i="1"/>
  <c r="T675" i="1"/>
  <c r="V675" i="1" s="1"/>
  <c r="U675" i="1"/>
  <c r="T676" i="1"/>
  <c r="V676" i="1" s="1"/>
  <c r="U676" i="1"/>
  <c r="T677" i="1"/>
  <c r="V677" i="1" s="1"/>
  <c r="U677" i="1"/>
  <c r="T678" i="1"/>
  <c r="V678" i="1" s="1"/>
  <c r="U678" i="1"/>
  <c r="T679" i="1"/>
  <c r="V679" i="1" s="1"/>
  <c r="U679" i="1"/>
  <c r="T680" i="1"/>
  <c r="V680" i="1" s="1"/>
  <c r="U680" i="1"/>
  <c r="T681" i="1"/>
  <c r="V681" i="1" s="1"/>
  <c r="U681" i="1"/>
  <c r="T682" i="1"/>
  <c r="V682" i="1" s="1"/>
  <c r="U682" i="1"/>
  <c r="T683" i="1"/>
  <c r="V683" i="1" s="1"/>
  <c r="U683" i="1"/>
  <c r="T684" i="1"/>
  <c r="V684" i="1" s="1"/>
  <c r="U684" i="1"/>
  <c r="T685" i="1"/>
  <c r="V685" i="1" s="1"/>
  <c r="U685" i="1"/>
  <c r="T686" i="1"/>
  <c r="V686" i="1" s="1"/>
  <c r="U686" i="1"/>
  <c r="T687" i="1"/>
  <c r="V687" i="1" s="1"/>
  <c r="U687" i="1"/>
  <c r="T688" i="1"/>
  <c r="V688" i="1" s="1"/>
  <c r="U688" i="1"/>
  <c r="T689" i="1"/>
  <c r="V689" i="1" s="1"/>
  <c r="U689" i="1"/>
  <c r="T690" i="1"/>
  <c r="V690" i="1" s="1"/>
  <c r="U690" i="1"/>
  <c r="T691" i="1"/>
  <c r="V691" i="1" s="1"/>
  <c r="U691" i="1"/>
  <c r="T692" i="1"/>
  <c r="V692" i="1" s="1"/>
  <c r="U692" i="1"/>
  <c r="T693" i="1"/>
  <c r="V693" i="1" s="1"/>
  <c r="U693" i="1"/>
  <c r="T694" i="1"/>
  <c r="V694" i="1" s="1"/>
  <c r="U694" i="1"/>
  <c r="T695" i="1"/>
  <c r="V695" i="1" s="1"/>
  <c r="U695" i="1"/>
  <c r="T696" i="1"/>
  <c r="V696" i="1" s="1"/>
  <c r="U696" i="1"/>
  <c r="T697" i="1"/>
  <c r="V697" i="1" s="1"/>
  <c r="U697" i="1"/>
  <c r="T698" i="1"/>
  <c r="V698" i="1" s="1"/>
  <c r="U698" i="1"/>
  <c r="T699" i="1"/>
  <c r="V699" i="1" s="1"/>
  <c r="U699" i="1"/>
  <c r="T700" i="1"/>
  <c r="V700" i="1" s="1"/>
  <c r="U700" i="1"/>
  <c r="T701" i="1"/>
  <c r="V701" i="1" s="1"/>
  <c r="U701" i="1"/>
  <c r="T702" i="1"/>
  <c r="V702" i="1" s="1"/>
  <c r="U702" i="1"/>
  <c r="T703" i="1"/>
  <c r="V703" i="1" s="1"/>
  <c r="U703" i="1"/>
  <c r="T704" i="1"/>
  <c r="V704" i="1" s="1"/>
  <c r="U704" i="1"/>
  <c r="T705" i="1"/>
  <c r="V705" i="1" s="1"/>
  <c r="U705" i="1"/>
  <c r="T706" i="1"/>
  <c r="V706" i="1" s="1"/>
  <c r="U706" i="1"/>
  <c r="T707" i="1"/>
  <c r="V707" i="1" s="1"/>
  <c r="U707" i="1"/>
  <c r="T708" i="1"/>
  <c r="V708" i="1" s="1"/>
  <c r="U708" i="1"/>
  <c r="T709" i="1"/>
  <c r="U709" i="1"/>
  <c r="T710" i="1"/>
  <c r="V710" i="1" s="1"/>
  <c r="U710" i="1"/>
  <c r="T711" i="1"/>
  <c r="V711" i="1" s="1"/>
  <c r="U711" i="1"/>
  <c r="T712" i="1"/>
  <c r="V712" i="1" s="1"/>
  <c r="U712" i="1"/>
  <c r="T713" i="1"/>
  <c r="V713" i="1" s="1"/>
  <c r="U713" i="1"/>
  <c r="T714" i="1"/>
  <c r="V714" i="1" s="1"/>
  <c r="U714" i="1"/>
  <c r="T715" i="1"/>
  <c r="V715" i="1" s="1"/>
  <c r="U715" i="1"/>
  <c r="T716" i="1"/>
  <c r="V716" i="1" s="1"/>
  <c r="U716" i="1"/>
  <c r="T717" i="1"/>
  <c r="V717" i="1" s="1"/>
  <c r="U717" i="1"/>
  <c r="T718" i="1"/>
  <c r="V718" i="1" s="1"/>
  <c r="U718" i="1"/>
  <c r="T719" i="1"/>
  <c r="V719" i="1" s="1"/>
  <c r="U719" i="1"/>
  <c r="T720" i="1"/>
  <c r="V720" i="1" s="1"/>
  <c r="U720" i="1"/>
  <c r="T721" i="1"/>
  <c r="V721" i="1" s="1"/>
  <c r="U721" i="1"/>
  <c r="T722" i="1"/>
  <c r="V722" i="1" s="1"/>
  <c r="U722" i="1"/>
  <c r="T723" i="1"/>
  <c r="V723" i="1" s="1"/>
  <c r="U723" i="1"/>
  <c r="T724" i="1"/>
  <c r="V724" i="1" s="1"/>
  <c r="U724" i="1"/>
  <c r="T725" i="1"/>
  <c r="V725" i="1" s="1"/>
  <c r="U725" i="1"/>
  <c r="T726" i="1"/>
  <c r="V726" i="1" s="1"/>
  <c r="U726" i="1"/>
  <c r="T727" i="1"/>
  <c r="V727" i="1" s="1"/>
  <c r="U727" i="1"/>
  <c r="T728" i="1"/>
  <c r="V728" i="1" s="1"/>
  <c r="U728" i="1"/>
  <c r="T729" i="1"/>
  <c r="V729" i="1" s="1"/>
  <c r="U729" i="1"/>
  <c r="T730" i="1"/>
  <c r="V730" i="1" s="1"/>
  <c r="U730" i="1"/>
  <c r="T731" i="1"/>
  <c r="V731" i="1" s="1"/>
  <c r="U731" i="1"/>
  <c r="T732" i="1"/>
  <c r="V732" i="1" s="1"/>
  <c r="U732" i="1"/>
  <c r="T733" i="1"/>
  <c r="V733" i="1" s="1"/>
  <c r="U733" i="1"/>
  <c r="T734" i="1"/>
  <c r="V734" i="1" s="1"/>
  <c r="U734" i="1"/>
  <c r="T735" i="1"/>
  <c r="V735" i="1" s="1"/>
  <c r="U735" i="1"/>
  <c r="T736" i="1"/>
  <c r="V736" i="1" s="1"/>
  <c r="U736" i="1"/>
  <c r="T737" i="1"/>
  <c r="V737" i="1" s="1"/>
  <c r="U737" i="1"/>
  <c r="T738" i="1"/>
  <c r="V738" i="1" s="1"/>
  <c r="U738" i="1"/>
  <c r="T739" i="1"/>
  <c r="V739" i="1" s="1"/>
  <c r="U739" i="1"/>
  <c r="T740" i="1"/>
  <c r="V740" i="1" s="1"/>
  <c r="U740" i="1"/>
  <c r="T741" i="1"/>
  <c r="V741" i="1" s="1"/>
  <c r="U741" i="1"/>
  <c r="T742" i="1"/>
  <c r="V742" i="1" s="1"/>
  <c r="U742" i="1"/>
  <c r="T743" i="1"/>
  <c r="V743" i="1" s="1"/>
  <c r="U743" i="1"/>
  <c r="T744" i="1"/>
  <c r="V744" i="1" s="1"/>
  <c r="U744" i="1"/>
  <c r="T745" i="1"/>
  <c r="V745" i="1" s="1"/>
  <c r="U745" i="1"/>
  <c r="T746" i="1"/>
  <c r="V746" i="1" s="1"/>
  <c r="U746" i="1"/>
  <c r="T747" i="1"/>
  <c r="V747" i="1" s="1"/>
  <c r="U747" i="1"/>
  <c r="T748" i="1"/>
  <c r="V748" i="1" s="1"/>
  <c r="U748" i="1"/>
  <c r="T749" i="1"/>
  <c r="V749" i="1" s="1"/>
  <c r="U749" i="1"/>
  <c r="T750" i="1"/>
  <c r="V750" i="1" s="1"/>
  <c r="U750" i="1"/>
  <c r="T751" i="1"/>
  <c r="V751" i="1" s="1"/>
  <c r="U751" i="1"/>
  <c r="T752" i="1"/>
  <c r="V752" i="1" s="1"/>
  <c r="U752" i="1"/>
  <c r="T753" i="1"/>
  <c r="U753" i="1"/>
  <c r="T754" i="1"/>
  <c r="V754" i="1" s="1"/>
  <c r="U754" i="1"/>
  <c r="T755" i="1"/>
  <c r="V755" i="1" s="1"/>
  <c r="U755" i="1"/>
  <c r="T756" i="1"/>
  <c r="V756" i="1" s="1"/>
  <c r="U756" i="1"/>
  <c r="T757" i="1"/>
  <c r="V757" i="1" s="1"/>
  <c r="U757" i="1"/>
  <c r="T758" i="1"/>
  <c r="V758" i="1" s="1"/>
  <c r="U758" i="1"/>
  <c r="T759" i="1"/>
  <c r="V759" i="1" s="1"/>
  <c r="U759" i="1"/>
  <c r="T760" i="1"/>
  <c r="V760" i="1" s="1"/>
  <c r="U760" i="1"/>
  <c r="T761" i="1"/>
  <c r="V761" i="1" s="1"/>
  <c r="U761" i="1"/>
  <c r="T762" i="1"/>
  <c r="V762" i="1" s="1"/>
  <c r="U762" i="1"/>
  <c r="T763" i="1"/>
  <c r="V763" i="1" s="1"/>
  <c r="U763" i="1"/>
  <c r="T764" i="1"/>
  <c r="V764" i="1" s="1"/>
  <c r="U764" i="1"/>
  <c r="T765" i="1"/>
  <c r="V765" i="1" s="1"/>
  <c r="U765" i="1"/>
  <c r="T766" i="1"/>
  <c r="V766" i="1" s="1"/>
  <c r="U766" i="1"/>
  <c r="T767" i="1"/>
  <c r="V767" i="1" s="1"/>
  <c r="U767" i="1"/>
  <c r="T768" i="1"/>
  <c r="V768" i="1" s="1"/>
  <c r="U768" i="1"/>
  <c r="T769" i="1"/>
  <c r="V769" i="1" s="1"/>
  <c r="U769" i="1"/>
  <c r="T770" i="1"/>
  <c r="V770" i="1" s="1"/>
  <c r="U770" i="1"/>
  <c r="T771" i="1"/>
  <c r="V771" i="1" s="1"/>
  <c r="U771" i="1"/>
  <c r="T772" i="1"/>
  <c r="V772" i="1" s="1"/>
  <c r="U772" i="1"/>
  <c r="T773" i="1"/>
  <c r="V773" i="1" s="1"/>
  <c r="U773" i="1"/>
  <c r="T774" i="1"/>
  <c r="V774" i="1" s="1"/>
  <c r="U774" i="1"/>
  <c r="T775" i="1"/>
  <c r="V775" i="1" s="1"/>
  <c r="U775" i="1"/>
  <c r="T776" i="1"/>
  <c r="V776" i="1" s="1"/>
  <c r="U776" i="1"/>
  <c r="T777" i="1"/>
  <c r="U777" i="1"/>
  <c r="T778" i="1"/>
  <c r="V778" i="1" s="1"/>
  <c r="U778" i="1"/>
  <c r="T779" i="1"/>
  <c r="V779" i="1" s="1"/>
  <c r="U779" i="1"/>
  <c r="T780" i="1"/>
  <c r="V780" i="1" s="1"/>
  <c r="U780" i="1"/>
  <c r="T781" i="1"/>
  <c r="V781" i="1" s="1"/>
  <c r="U781" i="1"/>
  <c r="T782" i="1"/>
  <c r="V782" i="1" s="1"/>
  <c r="U782" i="1"/>
  <c r="T783" i="1"/>
  <c r="V783" i="1" s="1"/>
  <c r="U783" i="1"/>
  <c r="T784" i="1"/>
  <c r="V784" i="1" s="1"/>
  <c r="U784" i="1"/>
  <c r="T785" i="1"/>
  <c r="V785" i="1" s="1"/>
  <c r="U785" i="1"/>
  <c r="T786" i="1"/>
  <c r="V786" i="1" s="1"/>
  <c r="U786" i="1"/>
  <c r="T787" i="1"/>
  <c r="V787" i="1" s="1"/>
  <c r="U787" i="1"/>
  <c r="T788" i="1"/>
  <c r="V788" i="1" s="1"/>
  <c r="U788" i="1"/>
  <c r="T789" i="1"/>
  <c r="V789" i="1" s="1"/>
  <c r="U789" i="1"/>
  <c r="T790" i="1"/>
  <c r="V790" i="1" s="1"/>
  <c r="U790" i="1"/>
  <c r="T791" i="1"/>
  <c r="V791" i="1" s="1"/>
  <c r="U791" i="1"/>
  <c r="T792" i="1"/>
  <c r="V792" i="1" s="1"/>
  <c r="U792" i="1"/>
  <c r="T793" i="1"/>
  <c r="V793" i="1" s="1"/>
  <c r="U793" i="1"/>
  <c r="T794" i="1"/>
  <c r="V794" i="1" s="1"/>
  <c r="U794" i="1"/>
  <c r="T795" i="1"/>
  <c r="V795" i="1" s="1"/>
  <c r="U795" i="1"/>
  <c r="T796" i="1"/>
  <c r="V796" i="1" s="1"/>
  <c r="U796" i="1"/>
  <c r="T797" i="1"/>
  <c r="V797" i="1" s="1"/>
  <c r="U797" i="1"/>
  <c r="T798" i="1"/>
  <c r="V798" i="1" s="1"/>
  <c r="U798" i="1"/>
  <c r="T799" i="1"/>
  <c r="V799" i="1" s="1"/>
  <c r="U799" i="1"/>
  <c r="T800" i="1"/>
  <c r="V800" i="1" s="1"/>
  <c r="U800" i="1"/>
  <c r="T801" i="1"/>
  <c r="V801" i="1" s="1"/>
  <c r="U801" i="1"/>
  <c r="T802" i="1"/>
  <c r="V802" i="1" s="1"/>
  <c r="U802" i="1"/>
  <c r="T803" i="1"/>
  <c r="V803" i="1" s="1"/>
  <c r="U803" i="1"/>
  <c r="T804" i="1"/>
  <c r="V804" i="1" s="1"/>
  <c r="U804" i="1"/>
  <c r="T805" i="1"/>
  <c r="V805" i="1" s="1"/>
  <c r="U805" i="1"/>
  <c r="T806" i="1"/>
  <c r="V806" i="1" s="1"/>
  <c r="U806" i="1"/>
  <c r="T807" i="1"/>
  <c r="V807" i="1" s="1"/>
  <c r="U807" i="1"/>
  <c r="T808" i="1"/>
  <c r="V808" i="1" s="1"/>
  <c r="U808" i="1"/>
  <c r="T809" i="1"/>
  <c r="V809" i="1" s="1"/>
  <c r="U809" i="1"/>
  <c r="T810" i="1"/>
  <c r="V810" i="1" s="1"/>
  <c r="U810" i="1"/>
  <c r="T811" i="1"/>
  <c r="V811" i="1" s="1"/>
  <c r="U811" i="1"/>
  <c r="T812" i="1"/>
  <c r="V812" i="1" s="1"/>
  <c r="U812" i="1"/>
  <c r="T813" i="1"/>
  <c r="V813" i="1" s="1"/>
  <c r="U813" i="1"/>
  <c r="T814" i="1"/>
  <c r="V814" i="1" s="1"/>
  <c r="U814" i="1"/>
  <c r="T815" i="1"/>
  <c r="V815" i="1" s="1"/>
  <c r="U815" i="1"/>
  <c r="T816" i="1"/>
  <c r="V816" i="1" s="1"/>
  <c r="U816" i="1"/>
  <c r="T817" i="1"/>
  <c r="V817" i="1" s="1"/>
  <c r="U817" i="1"/>
  <c r="T818" i="1"/>
  <c r="V818" i="1" s="1"/>
  <c r="U818" i="1"/>
  <c r="T819" i="1"/>
  <c r="V819" i="1" s="1"/>
  <c r="U819" i="1"/>
  <c r="T820" i="1"/>
  <c r="V820" i="1" s="1"/>
  <c r="U820" i="1"/>
  <c r="T821" i="1"/>
  <c r="V821" i="1" s="1"/>
  <c r="U821" i="1"/>
  <c r="T822" i="1"/>
  <c r="V822" i="1" s="1"/>
  <c r="U822" i="1"/>
  <c r="T823" i="1"/>
  <c r="V823" i="1" s="1"/>
  <c r="U823" i="1"/>
  <c r="T824" i="1"/>
  <c r="V824" i="1" s="1"/>
  <c r="U824" i="1"/>
  <c r="T825" i="1"/>
  <c r="V825" i="1" s="1"/>
  <c r="U825" i="1"/>
  <c r="T826" i="1"/>
  <c r="V826" i="1" s="1"/>
  <c r="U826" i="1"/>
  <c r="T827" i="1"/>
  <c r="V827" i="1" s="1"/>
  <c r="U827" i="1"/>
  <c r="T828" i="1"/>
  <c r="V828" i="1" s="1"/>
  <c r="U828" i="1"/>
  <c r="T829" i="1"/>
  <c r="V829" i="1" s="1"/>
  <c r="U829" i="1"/>
  <c r="T830" i="1"/>
  <c r="V830" i="1" s="1"/>
  <c r="U830" i="1"/>
  <c r="T831" i="1"/>
  <c r="V831" i="1" s="1"/>
  <c r="U831" i="1"/>
  <c r="T832" i="1"/>
  <c r="V832" i="1" s="1"/>
  <c r="U832" i="1"/>
  <c r="T833" i="1"/>
  <c r="V833" i="1" s="1"/>
  <c r="U833" i="1"/>
  <c r="T834" i="1"/>
  <c r="V834" i="1" s="1"/>
  <c r="U834" i="1"/>
  <c r="T835" i="1"/>
  <c r="V835" i="1" s="1"/>
  <c r="U835" i="1"/>
  <c r="T836" i="1"/>
  <c r="V836" i="1" s="1"/>
  <c r="U836" i="1"/>
  <c r="T837" i="1"/>
  <c r="V837" i="1" s="1"/>
  <c r="U837" i="1"/>
  <c r="T838" i="1"/>
  <c r="V838" i="1" s="1"/>
  <c r="U838" i="1"/>
  <c r="T839" i="1"/>
  <c r="V839" i="1" s="1"/>
  <c r="U839" i="1"/>
  <c r="T840" i="1"/>
  <c r="V840" i="1" s="1"/>
  <c r="U840" i="1"/>
  <c r="T841" i="1"/>
  <c r="V841" i="1" s="1"/>
  <c r="U841" i="1"/>
  <c r="T842" i="1"/>
  <c r="V842" i="1" s="1"/>
  <c r="U842" i="1"/>
  <c r="T843" i="1"/>
  <c r="V843" i="1" s="1"/>
  <c r="U843" i="1"/>
  <c r="T844" i="1"/>
  <c r="V844" i="1" s="1"/>
  <c r="U844" i="1"/>
  <c r="T845" i="1"/>
  <c r="V845" i="1" s="1"/>
  <c r="U845" i="1"/>
  <c r="T846" i="1"/>
  <c r="V846" i="1" s="1"/>
  <c r="U846" i="1"/>
  <c r="T847" i="1"/>
  <c r="V847" i="1" s="1"/>
  <c r="U847" i="1"/>
  <c r="T848" i="1"/>
  <c r="V848" i="1" s="1"/>
  <c r="U848" i="1"/>
  <c r="T849" i="1"/>
  <c r="V849" i="1" s="1"/>
  <c r="U849" i="1"/>
  <c r="T850" i="1"/>
  <c r="V850" i="1" s="1"/>
  <c r="U850" i="1"/>
  <c r="T851" i="1"/>
  <c r="V851" i="1" s="1"/>
  <c r="U851" i="1"/>
  <c r="T852" i="1"/>
  <c r="V852" i="1" s="1"/>
  <c r="U852" i="1"/>
  <c r="T853" i="1"/>
  <c r="V853" i="1" s="1"/>
  <c r="U853" i="1"/>
  <c r="T854" i="1"/>
  <c r="V854" i="1" s="1"/>
  <c r="U854" i="1"/>
  <c r="T855" i="1"/>
  <c r="V855" i="1" s="1"/>
  <c r="U855" i="1"/>
  <c r="T856" i="1"/>
  <c r="V856" i="1" s="1"/>
  <c r="U856" i="1"/>
  <c r="T857" i="1"/>
  <c r="V857" i="1" s="1"/>
  <c r="U857" i="1"/>
  <c r="T858" i="1"/>
  <c r="V858" i="1" s="1"/>
  <c r="U858" i="1"/>
  <c r="T859" i="1"/>
  <c r="V859" i="1" s="1"/>
  <c r="U859" i="1"/>
  <c r="T860" i="1"/>
  <c r="V860" i="1" s="1"/>
  <c r="U860" i="1"/>
  <c r="T861" i="1"/>
  <c r="V861" i="1" s="1"/>
  <c r="U861" i="1"/>
  <c r="T862" i="1"/>
  <c r="V862" i="1" s="1"/>
  <c r="U862" i="1"/>
  <c r="T863" i="1"/>
  <c r="V863" i="1" s="1"/>
  <c r="U863" i="1"/>
  <c r="T864" i="1"/>
  <c r="V864" i="1" s="1"/>
  <c r="U864" i="1"/>
  <c r="T865" i="1"/>
  <c r="V865" i="1" s="1"/>
  <c r="U865" i="1"/>
  <c r="T866" i="1"/>
  <c r="V866" i="1" s="1"/>
  <c r="U866" i="1"/>
  <c r="T867" i="1"/>
  <c r="V867" i="1" s="1"/>
  <c r="U867" i="1"/>
  <c r="T868" i="1"/>
  <c r="V868" i="1" s="1"/>
  <c r="U868" i="1"/>
  <c r="T869" i="1"/>
  <c r="V869" i="1" s="1"/>
  <c r="U869" i="1"/>
  <c r="T870" i="1"/>
  <c r="V870" i="1" s="1"/>
  <c r="U870" i="1"/>
  <c r="T871" i="1"/>
  <c r="V871" i="1" s="1"/>
  <c r="U871" i="1"/>
  <c r="T872" i="1"/>
  <c r="V872" i="1" s="1"/>
  <c r="U872" i="1"/>
  <c r="T873" i="1"/>
  <c r="V873" i="1" s="1"/>
  <c r="U873" i="1"/>
  <c r="T874" i="1"/>
  <c r="V874" i="1" s="1"/>
  <c r="U874" i="1"/>
  <c r="T875" i="1"/>
  <c r="V875" i="1" s="1"/>
  <c r="U875" i="1"/>
  <c r="T876" i="1"/>
  <c r="V876" i="1" s="1"/>
  <c r="U876" i="1"/>
  <c r="T877" i="1"/>
  <c r="V877" i="1" s="1"/>
  <c r="U877" i="1"/>
  <c r="T878" i="1"/>
  <c r="V878" i="1" s="1"/>
  <c r="U878" i="1"/>
  <c r="T879" i="1"/>
  <c r="V879" i="1" s="1"/>
  <c r="U879" i="1"/>
  <c r="T880" i="1"/>
  <c r="V880" i="1" s="1"/>
  <c r="U880" i="1"/>
  <c r="T881" i="1"/>
  <c r="V881" i="1" s="1"/>
  <c r="U881" i="1"/>
  <c r="T882" i="1"/>
  <c r="V882" i="1" s="1"/>
  <c r="U882" i="1"/>
  <c r="T883" i="1"/>
  <c r="V883" i="1" s="1"/>
  <c r="U883" i="1"/>
  <c r="T884" i="1"/>
  <c r="V884" i="1" s="1"/>
  <c r="U884" i="1"/>
  <c r="T885" i="1"/>
  <c r="V885" i="1" s="1"/>
  <c r="U885" i="1"/>
  <c r="T886" i="1"/>
  <c r="V886" i="1" s="1"/>
  <c r="U886" i="1"/>
  <c r="T887" i="1"/>
  <c r="V887" i="1" s="1"/>
  <c r="U887" i="1"/>
  <c r="T888" i="1"/>
  <c r="V888" i="1" s="1"/>
  <c r="U888" i="1"/>
  <c r="T889" i="1"/>
  <c r="V889" i="1" s="1"/>
  <c r="U889" i="1"/>
  <c r="T890" i="1"/>
  <c r="V890" i="1" s="1"/>
  <c r="U890" i="1"/>
  <c r="T891" i="1"/>
  <c r="V891" i="1" s="1"/>
  <c r="U891" i="1"/>
  <c r="T892" i="1"/>
  <c r="V892" i="1" s="1"/>
  <c r="U892" i="1"/>
  <c r="T893" i="1"/>
  <c r="V893" i="1" s="1"/>
  <c r="U893" i="1"/>
  <c r="T894" i="1"/>
  <c r="V894" i="1" s="1"/>
  <c r="U894" i="1"/>
  <c r="T895" i="1"/>
  <c r="V895" i="1" s="1"/>
  <c r="U895" i="1"/>
  <c r="T896" i="1"/>
  <c r="V896" i="1" s="1"/>
  <c r="U896" i="1"/>
  <c r="T897" i="1"/>
  <c r="V897" i="1" s="1"/>
  <c r="U897" i="1"/>
  <c r="T898" i="1"/>
  <c r="V898" i="1" s="1"/>
  <c r="U898" i="1"/>
  <c r="T899" i="1"/>
  <c r="V899" i="1" s="1"/>
  <c r="U899" i="1"/>
  <c r="T900" i="1"/>
  <c r="V900" i="1" s="1"/>
  <c r="U900" i="1"/>
  <c r="T901" i="1"/>
  <c r="V901" i="1" s="1"/>
  <c r="U901" i="1"/>
  <c r="T902" i="1"/>
  <c r="V902" i="1" s="1"/>
  <c r="U902" i="1"/>
  <c r="T903" i="1"/>
  <c r="V903" i="1" s="1"/>
  <c r="U903" i="1"/>
  <c r="T904" i="1"/>
  <c r="V904" i="1" s="1"/>
  <c r="U904" i="1"/>
  <c r="T905" i="1"/>
  <c r="V905" i="1" s="1"/>
  <c r="U905" i="1"/>
  <c r="T906" i="1"/>
  <c r="V906" i="1" s="1"/>
  <c r="U906" i="1"/>
  <c r="T907" i="1"/>
  <c r="V907" i="1" s="1"/>
  <c r="U907" i="1"/>
  <c r="T908" i="1"/>
  <c r="V908" i="1" s="1"/>
  <c r="U908" i="1"/>
  <c r="T909" i="1"/>
  <c r="V909" i="1" s="1"/>
  <c r="U909" i="1"/>
  <c r="T910" i="1"/>
  <c r="V910" i="1" s="1"/>
  <c r="U910" i="1"/>
  <c r="T911" i="1"/>
  <c r="V911" i="1" s="1"/>
  <c r="U911" i="1"/>
  <c r="T912" i="1"/>
  <c r="V912" i="1" s="1"/>
  <c r="U912" i="1"/>
  <c r="T913" i="1"/>
  <c r="V913" i="1" s="1"/>
  <c r="U913" i="1"/>
  <c r="T914" i="1"/>
  <c r="V914" i="1" s="1"/>
  <c r="U914" i="1"/>
  <c r="T915" i="1"/>
  <c r="V915" i="1" s="1"/>
  <c r="U915" i="1"/>
  <c r="T916" i="1"/>
  <c r="V916" i="1" s="1"/>
  <c r="U916" i="1"/>
  <c r="T917" i="1"/>
  <c r="V917" i="1" s="1"/>
  <c r="U917" i="1"/>
  <c r="T918" i="1"/>
  <c r="V918" i="1" s="1"/>
  <c r="U918" i="1"/>
  <c r="T919" i="1"/>
  <c r="V919" i="1" s="1"/>
  <c r="U919" i="1"/>
  <c r="T920" i="1"/>
  <c r="V920" i="1" s="1"/>
  <c r="U920" i="1"/>
  <c r="T921" i="1"/>
  <c r="V921" i="1" s="1"/>
  <c r="U921" i="1"/>
  <c r="T922" i="1"/>
  <c r="V922" i="1" s="1"/>
  <c r="U922" i="1"/>
  <c r="T923" i="1"/>
  <c r="V923" i="1" s="1"/>
  <c r="U923" i="1"/>
  <c r="T924" i="1"/>
  <c r="V924" i="1" s="1"/>
  <c r="U924" i="1"/>
  <c r="T925" i="1"/>
  <c r="V925" i="1" s="1"/>
  <c r="U925" i="1"/>
  <c r="T926" i="1"/>
  <c r="V926" i="1" s="1"/>
  <c r="U926" i="1"/>
  <c r="T927" i="1"/>
  <c r="V927" i="1" s="1"/>
  <c r="U927" i="1"/>
  <c r="T928" i="1"/>
  <c r="V928" i="1" s="1"/>
  <c r="U928" i="1"/>
  <c r="T929" i="1"/>
  <c r="V929" i="1" s="1"/>
  <c r="U929" i="1"/>
  <c r="T930" i="1"/>
  <c r="V930" i="1" s="1"/>
  <c r="U930" i="1"/>
  <c r="T931" i="1"/>
  <c r="V931" i="1" s="1"/>
  <c r="U931" i="1"/>
  <c r="T932" i="1"/>
  <c r="V932" i="1" s="1"/>
  <c r="U932" i="1"/>
  <c r="T933" i="1"/>
  <c r="V933" i="1" s="1"/>
  <c r="U933" i="1"/>
  <c r="T934" i="1"/>
  <c r="V934" i="1" s="1"/>
  <c r="U934" i="1"/>
  <c r="T935" i="1"/>
  <c r="V935" i="1" s="1"/>
  <c r="U935" i="1"/>
  <c r="T936" i="1"/>
  <c r="V936" i="1" s="1"/>
  <c r="U936" i="1"/>
  <c r="T937" i="1"/>
  <c r="V937" i="1" s="1"/>
  <c r="U937" i="1"/>
  <c r="T938" i="1"/>
  <c r="V938" i="1" s="1"/>
  <c r="U938" i="1"/>
  <c r="T939" i="1"/>
  <c r="V939" i="1" s="1"/>
  <c r="U939" i="1"/>
  <c r="T940" i="1"/>
  <c r="V940" i="1" s="1"/>
  <c r="U940" i="1"/>
  <c r="T941" i="1"/>
  <c r="V941" i="1" s="1"/>
  <c r="U941" i="1"/>
  <c r="T942" i="1"/>
  <c r="V942" i="1" s="1"/>
  <c r="U942" i="1"/>
  <c r="T943" i="1"/>
  <c r="V943" i="1" s="1"/>
  <c r="U943" i="1"/>
  <c r="T944" i="1"/>
  <c r="V944" i="1" s="1"/>
  <c r="U944" i="1"/>
  <c r="T945" i="1"/>
  <c r="V945" i="1" s="1"/>
  <c r="U945" i="1"/>
  <c r="T946" i="1"/>
  <c r="V946" i="1" s="1"/>
  <c r="U946" i="1"/>
  <c r="T947" i="1"/>
  <c r="V947" i="1" s="1"/>
  <c r="U947" i="1"/>
  <c r="T948" i="1"/>
  <c r="V948" i="1" s="1"/>
  <c r="U948" i="1"/>
  <c r="T949" i="1"/>
  <c r="V949" i="1" s="1"/>
  <c r="U949" i="1"/>
  <c r="T950" i="1"/>
  <c r="V950" i="1" s="1"/>
  <c r="U950" i="1"/>
  <c r="T951" i="1"/>
  <c r="V951" i="1" s="1"/>
  <c r="U951" i="1"/>
  <c r="T952" i="1"/>
  <c r="V952" i="1" s="1"/>
  <c r="U952" i="1"/>
  <c r="T953" i="1"/>
  <c r="V953" i="1" s="1"/>
  <c r="U953" i="1"/>
  <c r="T954" i="1"/>
  <c r="V954" i="1" s="1"/>
  <c r="U954" i="1"/>
  <c r="T955" i="1"/>
  <c r="V955" i="1" s="1"/>
  <c r="U955" i="1"/>
  <c r="T956" i="1"/>
  <c r="V956" i="1" s="1"/>
  <c r="U956" i="1"/>
  <c r="T957" i="1"/>
  <c r="V957" i="1" s="1"/>
  <c r="U957" i="1"/>
  <c r="T958" i="1"/>
  <c r="V958" i="1" s="1"/>
  <c r="U958" i="1"/>
  <c r="T959" i="1"/>
  <c r="V959" i="1" s="1"/>
  <c r="U959" i="1"/>
  <c r="T960" i="1"/>
  <c r="V960" i="1" s="1"/>
  <c r="U960" i="1"/>
  <c r="T961" i="1"/>
  <c r="V961" i="1" s="1"/>
  <c r="U961" i="1"/>
  <c r="T962" i="1"/>
  <c r="V962" i="1" s="1"/>
  <c r="U962" i="1"/>
  <c r="T963" i="1"/>
  <c r="V963" i="1" s="1"/>
  <c r="U963" i="1"/>
  <c r="T964" i="1"/>
  <c r="V964" i="1" s="1"/>
  <c r="U964" i="1"/>
  <c r="T965" i="1"/>
  <c r="V965" i="1" s="1"/>
  <c r="U965" i="1"/>
  <c r="T966" i="1"/>
  <c r="V966" i="1" s="1"/>
  <c r="U966" i="1"/>
  <c r="T967" i="1"/>
  <c r="V967" i="1" s="1"/>
  <c r="U967" i="1"/>
  <c r="T968" i="1"/>
  <c r="V968" i="1" s="1"/>
  <c r="U968" i="1"/>
  <c r="T969" i="1"/>
  <c r="V969" i="1" s="1"/>
  <c r="U969" i="1"/>
  <c r="T970" i="1"/>
  <c r="V970" i="1" s="1"/>
  <c r="U970" i="1"/>
  <c r="T971" i="1"/>
  <c r="V971" i="1" s="1"/>
  <c r="U971" i="1"/>
  <c r="T972" i="1"/>
  <c r="V972" i="1" s="1"/>
  <c r="U972" i="1"/>
  <c r="T973" i="1"/>
  <c r="V973" i="1" s="1"/>
  <c r="U973" i="1"/>
  <c r="T974" i="1"/>
  <c r="V974" i="1" s="1"/>
  <c r="U974" i="1"/>
  <c r="T975" i="1"/>
  <c r="V975" i="1" s="1"/>
  <c r="U975" i="1"/>
  <c r="T976" i="1"/>
  <c r="V976" i="1" s="1"/>
  <c r="U976" i="1"/>
  <c r="T977" i="1"/>
  <c r="V977" i="1" s="1"/>
  <c r="U977" i="1"/>
  <c r="T978" i="1"/>
  <c r="V978" i="1" s="1"/>
  <c r="U978" i="1"/>
  <c r="T979" i="1"/>
  <c r="V979" i="1" s="1"/>
  <c r="U979" i="1"/>
  <c r="T980" i="1"/>
  <c r="V980" i="1" s="1"/>
  <c r="U980" i="1"/>
  <c r="T981" i="1"/>
  <c r="V981" i="1" s="1"/>
  <c r="U981" i="1"/>
  <c r="T982" i="1"/>
  <c r="V982" i="1" s="1"/>
  <c r="U982" i="1"/>
  <c r="T983" i="1"/>
  <c r="V983" i="1" s="1"/>
  <c r="U983" i="1"/>
  <c r="T984" i="1"/>
  <c r="V984" i="1" s="1"/>
  <c r="U984" i="1"/>
  <c r="T985" i="1"/>
  <c r="V985" i="1" s="1"/>
  <c r="U985" i="1"/>
  <c r="T986" i="1"/>
  <c r="V986" i="1" s="1"/>
  <c r="U986" i="1"/>
  <c r="T987" i="1"/>
  <c r="V987" i="1" s="1"/>
  <c r="U987" i="1"/>
  <c r="T988" i="1"/>
  <c r="V988" i="1" s="1"/>
  <c r="U988" i="1"/>
  <c r="T989" i="1"/>
  <c r="V989" i="1" s="1"/>
  <c r="U989" i="1"/>
  <c r="T990" i="1"/>
  <c r="V990" i="1" s="1"/>
  <c r="U990" i="1"/>
  <c r="T991" i="1"/>
  <c r="V991" i="1" s="1"/>
  <c r="U991" i="1"/>
  <c r="T992" i="1"/>
  <c r="V992" i="1" s="1"/>
  <c r="U992" i="1"/>
  <c r="T993" i="1"/>
  <c r="V993" i="1" s="1"/>
  <c r="U993" i="1"/>
  <c r="T994" i="1"/>
  <c r="V994" i="1" s="1"/>
  <c r="U994" i="1"/>
  <c r="T995" i="1"/>
  <c r="V995" i="1" s="1"/>
  <c r="U995" i="1"/>
  <c r="T996" i="1"/>
  <c r="V996" i="1" s="1"/>
  <c r="U996" i="1"/>
  <c r="T997" i="1"/>
  <c r="V997" i="1" s="1"/>
  <c r="U997" i="1"/>
  <c r="T998" i="1"/>
  <c r="V998" i="1" s="1"/>
  <c r="U998" i="1"/>
  <c r="T999" i="1"/>
  <c r="V999" i="1" s="1"/>
  <c r="U999" i="1"/>
  <c r="T1000" i="1"/>
  <c r="V1000" i="1" s="1"/>
  <c r="U1000" i="1"/>
  <c r="T1001" i="1"/>
  <c r="V1001" i="1" s="1"/>
  <c r="U1001" i="1"/>
  <c r="T1002" i="1"/>
  <c r="V1002" i="1" s="1"/>
  <c r="U1002" i="1"/>
  <c r="T1003" i="1"/>
  <c r="V1003" i="1" s="1"/>
  <c r="U1003" i="1"/>
  <c r="T1004" i="1"/>
  <c r="V1004" i="1" s="1"/>
  <c r="U1004" i="1"/>
  <c r="T1005" i="1"/>
  <c r="V1005" i="1" s="1"/>
  <c r="U1005" i="1"/>
  <c r="T1006" i="1"/>
  <c r="V1006" i="1" s="1"/>
  <c r="U1006" i="1"/>
  <c r="T1007" i="1"/>
  <c r="V1007" i="1" s="1"/>
  <c r="U1007" i="1"/>
  <c r="T1008" i="1"/>
  <c r="V1008" i="1" s="1"/>
  <c r="U1008" i="1"/>
  <c r="T1009" i="1"/>
  <c r="V1009" i="1" s="1"/>
  <c r="U1009" i="1"/>
  <c r="T1010" i="1"/>
  <c r="V1010" i="1" s="1"/>
  <c r="U1010" i="1"/>
  <c r="T1011" i="1"/>
  <c r="V1011" i="1" s="1"/>
  <c r="U1011" i="1"/>
  <c r="T1012" i="1"/>
  <c r="V1012" i="1" s="1"/>
  <c r="U1012" i="1"/>
  <c r="T1013" i="1"/>
  <c r="V1013" i="1" s="1"/>
  <c r="U1013" i="1"/>
  <c r="T1014" i="1"/>
  <c r="V1014" i="1" s="1"/>
  <c r="U1014" i="1"/>
  <c r="T1015" i="1"/>
  <c r="V1015" i="1" s="1"/>
  <c r="U1015" i="1"/>
  <c r="T1016" i="1"/>
  <c r="V1016" i="1" s="1"/>
  <c r="U1016" i="1"/>
  <c r="T1017" i="1"/>
  <c r="V1017" i="1" s="1"/>
  <c r="U1017" i="1"/>
  <c r="T1018" i="1"/>
  <c r="V1018" i="1" s="1"/>
  <c r="U1018" i="1"/>
  <c r="T1019" i="1"/>
  <c r="V1019" i="1" s="1"/>
  <c r="U1019" i="1"/>
  <c r="T1020" i="1"/>
  <c r="V1020" i="1" s="1"/>
  <c r="U1020" i="1"/>
  <c r="T1021" i="1"/>
  <c r="V1021" i="1" s="1"/>
  <c r="U1021" i="1"/>
  <c r="T1022" i="1"/>
  <c r="V1022" i="1" s="1"/>
  <c r="U1022" i="1"/>
  <c r="T1023" i="1"/>
  <c r="V1023" i="1" s="1"/>
  <c r="U1023" i="1"/>
  <c r="T1024" i="1"/>
  <c r="V1024" i="1" s="1"/>
  <c r="U1024" i="1"/>
  <c r="T1025" i="1"/>
  <c r="V1025" i="1" s="1"/>
  <c r="U1025" i="1"/>
  <c r="T1026" i="1"/>
  <c r="V1026" i="1" s="1"/>
  <c r="U1026" i="1"/>
  <c r="T1027" i="1"/>
  <c r="V1027" i="1" s="1"/>
  <c r="U1027" i="1"/>
  <c r="T1028" i="1"/>
  <c r="V1028" i="1" s="1"/>
  <c r="U1028" i="1"/>
  <c r="T1029" i="1"/>
  <c r="V1029" i="1" s="1"/>
  <c r="U1029" i="1"/>
  <c r="T1030" i="1"/>
  <c r="V1030" i="1" s="1"/>
  <c r="U1030" i="1"/>
  <c r="T1031" i="1"/>
  <c r="V1031" i="1" s="1"/>
  <c r="U1031" i="1"/>
  <c r="T1032" i="1"/>
  <c r="V1032" i="1" s="1"/>
  <c r="U1032" i="1"/>
  <c r="T1033" i="1"/>
  <c r="V1033" i="1" s="1"/>
  <c r="U1033" i="1"/>
  <c r="T1034" i="1"/>
  <c r="V1034" i="1" s="1"/>
  <c r="U1034" i="1"/>
  <c r="T1035" i="1"/>
  <c r="V1035" i="1" s="1"/>
  <c r="U1035" i="1"/>
  <c r="T1036" i="1"/>
  <c r="U1036" i="1"/>
  <c r="T1037" i="1"/>
  <c r="V1037" i="1" s="1"/>
  <c r="U1037" i="1"/>
  <c r="T1038" i="1"/>
  <c r="V1038" i="1" s="1"/>
  <c r="U1038" i="1"/>
  <c r="T1039" i="1"/>
  <c r="V1039" i="1" s="1"/>
  <c r="U1039" i="1"/>
  <c r="T1040" i="1"/>
  <c r="V1040" i="1" s="1"/>
  <c r="U1040" i="1"/>
  <c r="T1041" i="1"/>
  <c r="V1041" i="1" s="1"/>
  <c r="U1041" i="1"/>
  <c r="T1042" i="1"/>
  <c r="V1042" i="1" s="1"/>
  <c r="U1042" i="1"/>
  <c r="T1043" i="1"/>
  <c r="V1043" i="1" s="1"/>
  <c r="U1043" i="1"/>
  <c r="T1044" i="1"/>
  <c r="V1044" i="1" s="1"/>
  <c r="U1044" i="1"/>
  <c r="T1045" i="1"/>
  <c r="V1045" i="1" s="1"/>
  <c r="U1045" i="1"/>
  <c r="T1046" i="1"/>
  <c r="V1046" i="1" s="1"/>
  <c r="U1046" i="1"/>
  <c r="T1047" i="1"/>
  <c r="V1047" i="1" s="1"/>
  <c r="U1047" i="1"/>
  <c r="T1048" i="1"/>
  <c r="V1048" i="1" s="1"/>
  <c r="U1048" i="1"/>
  <c r="T1049" i="1"/>
  <c r="U1049" i="1"/>
  <c r="T1050" i="1"/>
  <c r="V1050" i="1" s="1"/>
  <c r="U1050" i="1"/>
  <c r="T1051" i="1"/>
  <c r="V1051" i="1" s="1"/>
  <c r="U1051" i="1"/>
  <c r="T1052" i="1"/>
  <c r="V1052" i="1" s="1"/>
  <c r="U1052" i="1"/>
  <c r="T1053" i="1"/>
  <c r="V1053" i="1" s="1"/>
  <c r="U1053" i="1"/>
  <c r="T1054" i="1"/>
  <c r="V1054" i="1" s="1"/>
  <c r="U1054" i="1"/>
  <c r="T1055" i="1"/>
  <c r="V1055" i="1" s="1"/>
  <c r="U1055" i="1"/>
  <c r="T1056" i="1"/>
  <c r="V1056" i="1" s="1"/>
  <c r="U1056" i="1"/>
  <c r="T1057" i="1"/>
  <c r="V1057" i="1" s="1"/>
  <c r="U1057" i="1"/>
  <c r="T1058" i="1"/>
  <c r="V1058" i="1" s="1"/>
  <c r="U1058" i="1"/>
  <c r="T1059" i="1"/>
  <c r="V1059" i="1" s="1"/>
  <c r="U1059" i="1"/>
  <c r="T1060" i="1"/>
  <c r="V1060" i="1" s="1"/>
  <c r="U1060" i="1"/>
  <c r="T1061" i="1"/>
  <c r="V1061" i="1" s="1"/>
  <c r="U1061" i="1"/>
  <c r="T1062" i="1"/>
  <c r="V1062" i="1" s="1"/>
  <c r="U1062" i="1"/>
  <c r="T1063" i="1"/>
  <c r="V1063" i="1" s="1"/>
  <c r="U1063" i="1"/>
  <c r="T1064" i="1"/>
  <c r="V1064" i="1" s="1"/>
  <c r="U1064" i="1"/>
  <c r="T1065" i="1"/>
  <c r="V1065" i="1" s="1"/>
  <c r="U1065" i="1"/>
  <c r="T1066" i="1"/>
  <c r="V1066" i="1" s="1"/>
  <c r="U1066" i="1"/>
  <c r="T1067" i="1"/>
  <c r="V1067" i="1" s="1"/>
  <c r="U1067" i="1"/>
  <c r="T1068" i="1"/>
  <c r="V1068" i="1" s="1"/>
  <c r="U1068" i="1"/>
  <c r="T1069" i="1"/>
  <c r="V1069" i="1" s="1"/>
  <c r="U1069" i="1"/>
  <c r="T1070" i="1"/>
  <c r="V1070" i="1" s="1"/>
  <c r="U1070" i="1"/>
  <c r="T1071" i="1"/>
  <c r="V1071" i="1" s="1"/>
  <c r="U1071" i="1"/>
  <c r="T1072" i="1"/>
  <c r="V1072" i="1" s="1"/>
  <c r="U1072" i="1"/>
  <c r="T1073" i="1"/>
  <c r="V1073" i="1" s="1"/>
  <c r="U1073" i="1"/>
  <c r="T1074" i="1"/>
  <c r="V1074" i="1" s="1"/>
  <c r="U1074" i="1"/>
  <c r="T1075" i="1"/>
  <c r="V1075" i="1" s="1"/>
  <c r="U1075" i="1"/>
  <c r="T1076" i="1"/>
  <c r="V1076" i="1" s="1"/>
  <c r="U1076" i="1"/>
  <c r="T1077" i="1"/>
  <c r="V1077" i="1" s="1"/>
  <c r="U1077" i="1"/>
  <c r="T1078" i="1"/>
  <c r="V1078" i="1" s="1"/>
  <c r="U1078" i="1"/>
  <c r="T1079" i="1"/>
  <c r="V1079" i="1" s="1"/>
  <c r="U1079" i="1"/>
  <c r="T1080" i="1"/>
  <c r="V1080" i="1" s="1"/>
  <c r="U1080" i="1"/>
  <c r="T1081" i="1"/>
  <c r="V1081" i="1" s="1"/>
  <c r="U1081" i="1"/>
  <c r="T1082" i="1"/>
  <c r="V1082" i="1" s="1"/>
  <c r="U1082" i="1"/>
  <c r="T1083" i="1"/>
  <c r="V1083" i="1" s="1"/>
  <c r="U1083" i="1"/>
  <c r="T1084" i="1"/>
  <c r="U1084" i="1"/>
  <c r="U2" i="1"/>
  <c r="T2" i="1"/>
</calcChain>
</file>

<file path=xl/sharedStrings.xml><?xml version="1.0" encoding="utf-8"?>
<sst xmlns="http://schemas.openxmlformats.org/spreadsheetml/2006/main" count="7554" uniqueCount="2733">
  <si>
    <t>Title</t>
  </si>
  <si>
    <t>Year</t>
  </si>
  <si>
    <t>Source title</t>
  </si>
  <si>
    <t>Document Type</t>
  </si>
  <si>
    <t>DOI</t>
  </si>
  <si>
    <t>venue_classification</t>
  </si>
  <si>
    <t>selection_status_existing</t>
  </si>
  <si>
    <t>IC1_domain_context</t>
  </si>
  <si>
    <t>IC2_ml_ai_data_driven</t>
  </si>
  <si>
    <t>IC3_lifecycle_workflow_toolchain</t>
  </si>
  <si>
    <t>IC4_core_rq_alignment_proxy</t>
  </si>
  <si>
    <t>IC5_peer_reviewed_type_proxy</t>
  </si>
  <si>
    <t>IC6_ranked_venue_Q1Q2_or_A_B</t>
  </si>
  <si>
    <t>EC1_non_target_document_type</t>
  </si>
  <si>
    <t>EC2_low_or_missing_venue_classification</t>
  </si>
  <si>
    <t>EC3_isolated_task_paper_no_process_focus</t>
  </si>
  <si>
    <t>EC4_runtime_or_acceleration_only_proxy</t>
  </si>
  <si>
    <t>EC5_generic_ml_not_domain_specific</t>
  </si>
  <si>
    <t>EC6_generic_process_not_domain_specific</t>
  </si>
  <si>
    <t>KANELÃƒÂ‰: KolmogorovÃ¢Â€Â“Arnold Networks for Efficient LUT-based Evaluation</t>
  </si>
  <si>
    <t>Proceedings of the 2026 ACM/SIGDA International Symposium on Field Programmable Gate Arrays</t>
  </si>
  <si>
    <t>Conference Paper</t>
  </si>
  <si>
    <t>10.1145/3748173.3779202</t>
  </si>
  <si>
    <t>A</t>
  </si>
  <si>
    <t>selected</t>
  </si>
  <si>
    <t>Hyperscale FPGA Engineering Systems at Microsoft</t>
  </si>
  <si>
    <t>10.1145/3748173.3779203</t>
  </si>
  <si>
    <t>MetaML-Pro: Cross-Stage Design Flow Automation for Efficient Deep Learning Acceleration</t>
  </si>
  <si>
    <t>ACM Trans. Reconfigurable Technol. Syst.</t>
  </si>
  <si>
    <t>Journal Article</t>
  </si>
  <si>
    <t>10.1145/3795794</t>
  </si>
  <si>
    <t>Q2</t>
  </si>
  <si>
    <t>PrioriFI: More Informed Fault Injection for Edge Neural Networks</t>
  </si>
  <si>
    <t>Proceedings of the 31st ACM International Conference on Architectural Support for Programming Languages and Operating Systems, Volume 2</t>
  </si>
  <si>
    <t>10.1145/3779212.3790204</t>
  </si>
  <si>
    <t>A++</t>
  </si>
  <si>
    <t>A Systematic Literature Review of Healthcare Embedded Systems Using AI-based Biosignal Analysis</t>
  </si>
  <si>
    <t>ACM Comput. Surv.</t>
  </si>
  <si>
    <t>10.1145/3793669</t>
  </si>
  <si>
    <t>Q1</t>
  </si>
  <si>
    <t>HGQ: High Granularity Quantization for Real-time Neural Networks on FPGAs</t>
  </si>
  <si>
    <t>10.1145/3748173.3779200</t>
  </si>
  <si>
    <t>hls4ml: A Flexible, Open-Source Platform for Deep Learning Acceleration on Reconfigurable Hardware</t>
  </si>
  <si>
    <t>10.1145/3801979</t>
  </si>
  <si>
    <t>Efficient Neural Networks for Tiny Machine Learning: A Comprehensive Review</t>
  </si>
  <si>
    <t>ACM Trans. Intell. Syst. Technol.</t>
  </si>
  <si>
    <t>10.1145/3798276</t>
  </si>
  <si>
    <t>A Decade Later: Evolution of Real-Time Embedded Virtual Presence Systems (An HCI Perspective)</t>
  </si>
  <si>
    <t>ACM Trans. Embed. Comput. Syst.</t>
  </si>
  <si>
    <t>10.1145/3788875</t>
  </si>
  <si>
    <t>CGRA4ML: A Hardware/Software Framework to Implement Neural Networks for Scientific Edge Computing</t>
  </si>
  <si>
    <t>10.1145/3801097</t>
  </si>
  <si>
    <t>Introduction to the Special Issue on Machine Learning for CAD, Part I</t>
  </si>
  <si>
    <t>ACM Trans. Des. Autom. Electron. Syst.</t>
  </si>
  <si>
    <t>10.1145/3793426</t>
  </si>
  <si>
    <t>RE-LFDE: A Resource-Efficient Hardware Accelerator for Low-Bit Light Field Image Depth Estimation</t>
  </si>
  <si>
    <t>10.1145/3807499</t>
  </si>
  <si>
    <t>Chiplet Design Automation: Methodologies, Advances, and Directions</t>
  </si>
  <si>
    <t>10.1145/3796529</t>
  </si>
  <si>
    <t>Graph Neural Network-Based Glitch Rate Prediction at the Signoff Stage</t>
  </si>
  <si>
    <t>10.1145/3760779</t>
  </si>
  <si>
    <t>Invited: Novel Concepts to Improve Custom Layout Automation Capabilities</t>
  </si>
  <si>
    <t>Proceedings of the 2026 International Symposium on Physical Design</t>
  </si>
  <si>
    <t>10.1145/3764386.3779617</t>
  </si>
  <si>
    <t>A Development Platform for Managed Heterogeneous Accelerated Compute Clusters: A Case Study on ETH ZurichÃ¢Â€Â™s AMD HACC</t>
  </si>
  <si>
    <t>10.1145/3805700</t>
  </si>
  <si>
    <t>Invited: Agentic Chip Design from Spec2GDS - Faster and Better than a Human Expert?</t>
  </si>
  <si>
    <t>10.1145/3764386.3779630</t>
  </si>
  <si>
    <t>Invited: The Many PD Faces of Professor Jens Lienig</t>
  </si>
  <si>
    <t>10.1145/3764386.3779615</t>
  </si>
  <si>
    <t>cGenEDA: Code-Generation for Electronic Design Optimization</t>
  </si>
  <si>
    <t>10.1145/3800953</t>
  </si>
  <si>
    <t>AiTPO: KAN-UNet Heterogeneous Network for Timing Prediction and Optimization at Global Routing</t>
  </si>
  <si>
    <t>10.1145/3735639</t>
  </si>
  <si>
    <t>Event Camera Meets Mobile Embodied Perception: Abstraction, Algorithm, Acceleration, Application</t>
  </si>
  <si>
    <t>10.1145/3786332</t>
  </si>
  <si>
    <t>AstroTune: AST-Assisted LLM Retrieval for Cross-Stage Design Flow Parameter Tuner</t>
  </si>
  <si>
    <t>10.1145/3764386.3779579</t>
  </si>
  <si>
    <t>Towards Generalizable and Efficient Circuit Topology Design: A Graph-Transformer-based Surrogate Model with Curriculum Learning</t>
  </si>
  <si>
    <t>10.1145/3768167</t>
  </si>
  <si>
    <t>Cross-Layer Design of Vector-Symbolic Computing: Bridging Cognition and Brain-Inspired Hardware Acceleration</t>
  </si>
  <si>
    <t>10.1145/3807784</t>
  </si>
  <si>
    <t>Invited: From Evolutionary Algorithms to Analog Design, Electromigration, 3D Integration, and Beyond: On Jens Lienig's Contributions to Advance Physical Design</t>
  </si>
  <si>
    <t>10.1145/3764386.3779613</t>
  </si>
  <si>
    <t>DARE: Enriching Physical Dataflow Awareness for Macro Placement Optimization</t>
  </si>
  <si>
    <t>10.1145/3795530</t>
  </si>
  <si>
    <t>TinyML Security: Attacks, Defenses, and Open Challenges in Resource-Constrained Machine Learning Systems</t>
  </si>
  <si>
    <t>10.1145/3793197</t>
  </si>
  <si>
    <t>A Hybrid Reinforcement Learning Framework for Efficient Physical Design Parameter Tuning</t>
  </si>
  <si>
    <t>10.1145/3779423</t>
  </si>
  <si>
    <t>Detecting Hardware Trojans in High-Level Synthesis-Generated RTL using Large Language Models</t>
  </si>
  <si>
    <t>10.1145/3795509</t>
  </si>
  <si>
    <t>MapTune: Versatile ASIC Technology Mapping via Reinforcement Learning Guided Library Tuning</t>
  </si>
  <si>
    <t>10.1145/3748507</t>
  </si>
  <si>
    <t>RL-MUL 2.0: Multiplier Design Optimization with Parallel Deep Reinforcement Learning and Space Reduction</t>
  </si>
  <si>
    <t>10.1145/3711850</t>
  </si>
  <si>
    <t>Functional Fault Impact Probability Prediction using Spatio-Temporal Graph Convolutional Network</t>
  </si>
  <si>
    <t>10.1145/3798106</t>
  </si>
  <si>
    <t>CacheMind: From Miss Rates to Why - Natural-Language, Trace-Grounded Reasoning for Cache Replacement</t>
  </si>
  <si>
    <t>10.1145/3779212.3790136</t>
  </si>
  <si>
    <t>Co-exploration of Hardware Acceleration and Tensor Programs via Unified Compilation Interface</t>
  </si>
  <si>
    <t>10.1145/3799987</t>
  </si>
  <si>
    <t>TEEMÃ‚Â³: Core-Independent and Cooperating Trusted Execution Environments</t>
  </si>
  <si>
    <t>10.1145/3779212.3790232</t>
  </si>
  <si>
    <t>A Survey of Machine Learning Approaches in Logic Synthesis</t>
  </si>
  <si>
    <t>10.1145/3785362</t>
  </si>
  <si>
    <t>Snap &amp;amp; Replay: A new way to analyze uarch-scale performance bottlenecks for ML accelerators</t>
  </si>
  <si>
    <t>Proceedings of the 2025 ACM Symposium on Cloud Computing</t>
  </si>
  <si>
    <t>10.1145/3772052.3772233</t>
  </si>
  <si>
    <t>Cir-Fuzzer: Automated Generation of Diverse Circuit Schematics for EDA Tool Chain Defect Detection</t>
  </si>
  <si>
    <t>10.1145/3803420</t>
  </si>
  <si>
    <t>Retrieval-augmented Generation (RAG): What is There for Data Management Researchers? A discussion on research from a panel at LLM+Vector Data Workshop @ IEEE ICDE 2025</t>
  </si>
  <si>
    <t>SIGMOD Rec.</t>
  </si>
  <si>
    <t>10.1145/3793217.3793229</t>
  </si>
  <si>
    <t>Twins: Hardware Similarity Evaluation Framework Using Graph Neural Network</t>
  </si>
  <si>
    <t>10.1145/3786598</t>
  </si>
  <si>
    <t>OrCA: An Efficient Computing Architecture for Fault-Tolerant Large Language Model Inference via Outlier-Aware Recalculation</t>
  </si>
  <si>
    <t>10.1145/3801976</t>
  </si>
  <si>
    <t>REATA: An Efficient Vision Transformer Accelerator Featuring a Resource-Optimized Attention Design on&amp;nbsp;Versal&amp;nbsp;ACAP</t>
  </si>
  <si>
    <t>10.1145/3779444</t>
  </si>
  <si>
    <t>Hardware Accelerated FPGA Divide-and-Conquer Page Placement in Milliseconds</t>
  </si>
  <si>
    <t>10.1145/3748173.3779190</t>
  </si>
  <si>
    <t>BitRed: Taming Non-Uniform Bit-Level Sparsity with a Programmable RISC-V ISA for DNN Acceleration</t>
  </si>
  <si>
    <t>10.1145/3779212.3790132</t>
  </si>
  <si>
    <t>From Loop Nests to Silicon: Mapping AI Workloads onto AMD NPUs with MLIR-AIR</t>
  </si>
  <si>
    <t>10.1145/3785670</t>
  </si>
  <si>
    <t>FORCv2: A High-Throughput Streaming FPGA Accelerator for Optimized Row Columnar File Format Processing in Big Data Engines</t>
  </si>
  <si>
    <t>10.1145/3787488</t>
  </si>
  <si>
    <t>Unsupervised Graph Neural Network Framework for Balanced Multipatterning in Advanced Electronic Design Automation Layouts</t>
  </si>
  <si>
    <t>IEEE Access</t>
  </si>
  <si>
    <t>Article</t>
  </si>
  <si>
    <t>10.1109/ACCESS.2026.3673032</t>
  </si>
  <si>
    <t>Machine Learning-Based Timing and Power Models for Multiple-Input Switching and Glitch Effects,</t>
  </si>
  <si>
    <t>IEEE Transactions on Computer-Aided Design of Integrated Circuits and Systems</t>
  </si>
  <si>
    <t>10.1109/TCAD.2026.3651416</t>
  </si>
  <si>
    <t>A Fully Automated SPICE-Compatible Netlist Extraction From Image Using Deep Learning and Image Preprocessing Techniques</t>
  </si>
  <si>
    <t>10.1109/ACCESS.2026.3656316</t>
  </si>
  <si>
    <t>The inNuCE Research Infrastructure and the Neuromorphic MLOps for AIoT prototyping,</t>
  </si>
  <si>
    <t>IEEE Internet of Things Journal</t>
  </si>
  <si>
    <t>10.1109/JIOT.2026.3663902</t>
  </si>
  <si>
    <t>Engineering AIOps Controllers for High-Performance Software Operations: an Action Design Research Study,</t>
  </si>
  <si>
    <t>IEEE Transactions on Cloud Computing</t>
  </si>
  <si>
    <t>10.1109/TCC.2026.3681823</t>
  </si>
  <si>
    <t>MP3: Mixed-Precision Pipeline Parallelism Framework for Heterogeneous Edge Devices,</t>
  </si>
  <si>
    <t>10.1109/TCAD.2026.3663279</t>
  </si>
  <si>
    <t>Ku-Band Low-Noise Amplifier Configuration and Optimization Through BiLSTM-Based Deep Neural Networks</t>
  </si>
  <si>
    <t>10.1109/ACCESS.2026.3674770</t>
  </si>
  <si>
    <t>An Optimized Hybrid Deep Feature Fusion Framework for Hardware-Efficient Music Retrieval,</t>
  </si>
  <si>
    <t>10.1109/ACCESS.2026.3678947</t>
  </si>
  <si>
    <t>PINDAS: Physics-Informed Decoupled Spatiotemporal Artificial Neural Network for Dynamic Thermal Simulation,</t>
  </si>
  <si>
    <t>10.1109/TCAD.2025.3591411</t>
  </si>
  <si>
    <t>Trade-off-aware Analog Circuit Sizing Based on A Multitask Surrogate Model-assisted Evolutionary Algorithm,</t>
  </si>
  <si>
    <t>10.1109/TCAD.2026.3677769</t>
  </si>
  <si>
    <t>iPCL: Pre-training for Chip Layout (Invited Paper),</t>
  </si>
  <si>
    <t>2026 31st Asia and South Pacific Design Automation Conference (ASP-DAC)</t>
  </si>
  <si>
    <t>10.1109/ASP-DAC66049.2026.11420619</t>
  </si>
  <si>
    <t>Atelier: An Automated Analog Circuit Design Framework via Multiple Large Language Model-Based Agents,</t>
  </si>
  <si>
    <t>10.1109/TCAD.2025.3573228</t>
  </si>
  <si>
    <t>From Contrastive to Generative Alignment: Large-Scale Hierarchical Multi-Modal Pre-training for Hotspot Detection,</t>
  </si>
  <si>
    <t>10.1109/TCAD.2026.3660602</t>
  </si>
  <si>
    <t>Powering the AI Supercycle: Design for AI and AI for Design,</t>
  </si>
  <si>
    <t>2026 IEEE International Solid-State Circuits Conference (ISSCC)</t>
  </si>
  <si>
    <t>10.1109/ISSCC49663.2026.11409305</t>
  </si>
  <si>
    <t>Computational Performance Bounds Prediction in Quantum Computing With Unstable Noise,</t>
  </si>
  <si>
    <t>10.1109/TCAD.2025.3592605</t>
  </si>
  <si>
    <t>P-Box: A RISC-V Packed-SIMD Approach of Accelerating Edge Workloads on Scalar Embedded Cores,</t>
  </si>
  <si>
    <t>10.1109/ACCESS.2026.3671659</t>
  </si>
  <si>
    <t>GSP-enhanced embedded hardware framework for real-time multi-class road target detection in ADAS using mmWave radar</t>
  </si>
  <si>
    <t>Computers and Electrical Engineering</t>
  </si>
  <si>
    <t>10.1016/j.compeleceng.2026.111098</t>
  </si>
  <si>
    <t>AI/ML for VLSI chip design automation: a comprehensive survey</t>
  </si>
  <si>
    <t>Proceedings of the Indian National Science Academy</t>
  </si>
  <si>
    <t>Review</t>
  </si>
  <si>
    <t>10.1007/s43538-026-00744-8</t>
  </si>
  <si>
    <t>Enhancing Earthquake Preparedness in the Himalayan Region: A Machine Learning Approach using EEW System Parameters</t>
  </si>
  <si>
    <t>Iranian Journal of Science and Technology, Transactions of Electrical Engineering</t>
  </si>
  <si>
    <t>10.1007/s40998-025-00967-3</t>
  </si>
  <si>
    <t>A new quantum AI -performance analysis of low-power VLSI circuits in IoT devices using quantum machine learning techniques</t>
  </si>
  <si>
    <t>Quantum Information Processing</t>
  </si>
  <si>
    <t>10.1007/s11128-026-05149-6</t>
  </si>
  <si>
    <t>Intelligent sorting of peanut seeds: embedding lightweight deep learning into low-cost RK3566</t>
  </si>
  <si>
    <t>Journal of Food Measurement and Characterization</t>
  </si>
  <si>
    <t>10.1007/s11694-025-03940-0</t>
  </si>
  <si>
    <t>Soft errors detection and adaptive correction in real-time and dependable processor networks using quantized machine learning models</t>
  </si>
  <si>
    <t>The Journal of Supercomputing</t>
  </si>
  <si>
    <t>10.1007/s11227-026-08265-3</t>
  </si>
  <si>
    <t>Tinyml Applications in Wearable Devices: A Systematic Review and Research Directions</t>
  </si>
  <si>
    <t>Advances in Information and Communication Technology</t>
  </si>
  <si>
    <t>10.1007/978-3-032-18316-3_22</t>
  </si>
  <si>
    <t>A Graph-based Benchmark dataset for Printed Circuit Netlist Partitioning</t>
  </si>
  <si>
    <t>Scientific Data</t>
  </si>
  <si>
    <t>10.1038/s41597-026-06818-y</t>
  </si>
  <si>
    <t>Quantum computing for edge AI: opportunities, challenges, and future research directions</t>
  </si>
  <si>
    <t>10.1007/s11227-026-08436-2</t>
  </si>
  <si>
    <t>A survey on memory-efficient transformer-based model training in AI for science</t>
  </si>
  <si>
    <t>Frontiers of Computer Science</t>
  </si>
  <si>
    <t>10.1007/s11704-025-50302-6</t>
  </si>
  <si>
    <t>An accelerated heart sound classification design based on a heterogeneous platform</t>
  </si>
  <si>
    <t>10.1007/s11227-026-08350-7</t>
  </si>
  <si>
    <t>Object detection on low-compute edge SoCs: a reproducible benchmark and deployment guidelines</t>
  </si>
  <si>
    <t>Scientific Reports</t>
  </si>
  <si>
    <t>10.1038/s41598-026-36862-y</t>
  </si>
  <si>
    <t>Performance Measurement and Analysis of Certifiable Defenses against Adversarial Patch Attacks</t>
  </si>
  <si>
    <t>Journal of Signal Processing Systems</t>
  </si>
  <si>
    <t>10.1007/s11265-026-01989-8</t>
  </si>
  <si>
    <t>TRDAN: lightweight dual-stream attention network with FPGA acceleration for industrial gas leak detection</t>
  </si>
  <si>
    <t>Journal of Ambient Intelligence and Humanized Computing</t>
  </si>
  <si>
    <t>10.1007/s12652-026-05041-2</t>
  </si>
  <si>
    <t>Securing the low-altitude economy: a survey</t>
  </si>
  <si>
    <t>Science China Information Sciences</t>
  </si>
  <si>
    <t>10.1007/s11432-025-4811-2</t>
  </si>
  <si>
    <t>Design of an optimized parallel hardware architecture for efficient image haze removal</t>
  </si>
  <si>
    <t>Multimedia Tools and Applications</t>
  </si>
  <si>
    <t>10.1007/s11042-026-21206-9</t>
  </si>
  <si>
    <t>Optimizing and Benchmarking a Multi-task Transformer Model for Netlist Generation of Electrical Passive Components</t>
  </si>
  <si>
    <t>Neural Information Processing</t>
  </si>
  <si>
    <t>10.1007/978-981-95-4367-0_37</t>
  </si>
  <si>
    <t>Understanding and boosting fully homomorphic encryption applications on GPU</t>
  </si>
  <si>
    <t>Cybersecurity</t>
  </si>
  <si>
    <t>10.1186/s42400-025-00482-2</t>
  </si>
  <si>
    <t>Identity-preserving latent diffusion for enhanced protein localization: a novel lymphocyte-inspired approach</t>
  </si>
  <si>
    <t>Neural Computing and Applications</t>
  </si>
  <si>
    <t>10.1007/s00521-025-11723-3</t>
  </si>
  <si>
    <t>The evolution of object detection from CNNs to transformers and multi-modal fusion</t>
  </si>
  <si>
    <t>10.1038/s41598-026-37052-6</t>
  </si>
  <si>
    <t>Non-Invasive Brain-Computer Interfaces: Converging Frontiers in Neural Signal Decoding and Flexible Bioelectronics Integration</t>
  </si>
  <si>
    <t>Nano-Micro Letters</t>
  </si>
  <si>
    <t>10.1007/s40820-025-02042-2</t>
  </si>
  <si>
    <t>Advancements in medical image fusion: a comprehensive study on RTVD framework and FPGA deployment challenges</t>
  </si>
  <si>
    <t>10.1007/s11042-026-21355-x</t>
  </si>
  <si>
    <t>A novel hybrid medical image encryption scheme based on memristive chaos and DNA-ARX-3DES with Real-Time implementation</t>
  </si>
  <si>
    <t>10.1038/s41598-026-36824-4</t>
  </si>
  <si>
    <t>Energy-efficient reconfigurable FPGA accelerator for marine convolutional neural network-long short-term memory applications</t>
  </si>
  <si>
    <t>Intelligent Marine Technology and Systems</t>
  </si>
  <si>
    <t>10.1007/s44295-026-00098-3</t>
  </si>
  <si>
    <t>Symbol and Footprint Database for Electronic Components by Agentic Recognition and Generation</t>
  </si>
  <si>
    <t>Pattern Recognition and Computer Vision</t>
  </si>
  <si>
    <t>10.1007/978-981-95-5676-2_5</t>
  </si>
  <si>
    <t>TS-YOLO: a small traffic sign detection algorithm for various harsh driving conditions in bad weather</t>
  </si>
  <si>
    <t>10.1038/s41598-025-34544-9</t>
  </si>
  <si>
    <t>Standardized quantum transistor block enables differentiable learning on gait dynamics</t>
  </si>
  <si>
    <t>10.1038/s41598-026-40424-7</t>
  </si>
  <si>
    <t>A SIMD MAC RISC-V Extension with Approximate Multipliers for Accelerating CNN Inference in Tiny Embedded Devices</t>
  </si>
  <si>
    <t>Architecture of Computing Systems</t>
  </si>
  <si>
    <t>10.1007/978-3-032-03281-2_12</t>
  </si>
  <si>
    <t>S2TE: Staged Scale-Free Topology Evolution for Sparse Spiking Neural Networks</t>
  </si>
  <si>
    <t>Machine Learning</t>
  </si>
  <si>
    <t>10.1007/s10994-025-06982-z</t>
  </si>
  <si>
    <t>Gen-Fab: a variation-aware generative model for predicting fabrication variations in nanophotonic devices</t>
  </si>
  <si>
    <t>Structural and Multidisciplinary Optimization</t>
  </si>
  <si>
    <t>10.1007/s00158-026-04272-3</t>
  </si>
  <si>
    <t>Real-time visual feature matching on FPGA platforms through adaptive local-patches processing</t>
  </si>
  <si>
    <t>10.1007/s11042-026-21438-9</t>
  </si>
  <si>
    <t>Comparative Analysis of Lightweight Vision Models on Embedded Accelerator Devices</t>
  </si>
  <si>
    <t>Image Analysis and Processing Ã¢Â€Â“ ICIAP 2025</t>
  </si>
  <si>
    <t>10.1007/978-3-032-10185-3_18</t>
  </si>
  <si>
    <t>Control Strategies for Double-Pendulum Overhead Cranes: FPGA-Based Real-Time Implementation and Comparative Performance Analysis</t>
  </si>
  <si>
    <t>10.1007/s40998-026-01024-3</t>
  </si>
  <si>
    <t>Hardware and software design trends and considerations in gamified stroke rehabilitation: Results from a systematic review</t>
  </si>
  <si>
    <t>Medical &amp; Biological Engineering &amp; Computing</t>
  </si>
  <si>
    <t>10.1007/s11517-026-03518-y</t>
  </si>
  <si>
    <t>Modified vedic multiplier architecture using Nikhilam and Karatsuba algorithms with hybrid adders for enhanced performance</t>
  </si>
  <si>
    <t>10.1038/s41598-025-30966-7</t>
  </si>
  <si>
    <t>Can C-Based ECC Models Leverage High-Level Synthesis? Evaluating Description Variants for Efficient Circuit Implementations</t>
  </si>
  <si>
    <t>Computer Safety, Reliability, and Security</t>
  </si>
  <si>
    <t>10.1007/978-3-032-01241-8_10</t>
  </si>
  <si>
    <t>From language to action: a review of large language models as autonomous agents and tool users</t>
  </si>
  <si>
    <t>Artificial Intelligence Review</t>
  </si>
  <si>
    <t>10.1007/s10462-025-11471-9</t>
  </si>
  <si>
    <t>Synaptic Plasticity Engineering for Neural Precision, Temporal Learning, and Scalable Neuromorphic Systems</t>
  </si>
  <si>
    <t>10.1007/s40820-025-02028-0</t>
  </si>
  <si>
    <t>Special Sessions - Hardware-Software Co-Design for Machine Learning Systems Made Open-Source</t>
  </si>
  <si>
    <t>Proceedings of the International Conference on Hardware/Software Codesign and System Synthesis</t>
  </si>
  <si>
    <t>10.1145/3742873.3756928</t>
  </si>
  <si>
    <t>An Edge AI and Adaptive Embedded System Design for Agricultural Robotics Applications</t>
  </si>
  <si>
    <t>Proceedings of the 30th Asia and South Pacific Design Automation Conference</t>
  </si>
  <si>
    <t>10.1145/3658617.3697560</t>
  </si>
  <si>
    <t>AMSnet-KG: A Netlist Dataset for LLM-based AMS Circuit Auto-design Using Knowledge Graph RAG</t>
  </si>
  <si>
    <t>10.1145/3736166</t>
  </si>
  <si>
    <t>LLM-AID: Leveraging Large Language Models for Rapid Domain-Specific Accelerator Development</t>
  </si>
  <si>
    <t>Proceedings of the 43rd IEEE/ACM International Conference on Computer-Aided Design</t>
  </si>
  <si>
    <t>10.1145/3676536.3697135</t>
  </si>
  <si>
    <t>The State of Simulation Frameworks for Evaluating Emerging LLM Accelerators</t>
  </si>
  <si>
    <t>Proceedings of the Great Lakes Symposium on VLSI 2025</t>
  </si>
  <si>
    <t>10.1145/3716368.3735292</t>
  </si>
  <si>
    <t>EDALearn: A Comprehensive RTL-to-Signoff EDA Benchmark for Democratized and Reproducible ML for EDA Research</t>
  </si>
  <si>
    <t>10.1145/3676536.3697116</t>
  </si>
  <si>
    <t>The Survey of 2.5D Integrated Architecture: An EDA perspective</t>
  </si>
  <si>
    <t>10.1145/3658617.3703134</t>
  </si>
  <si>
    <t>A Review on Edge Large Language Models: Design, Execution, and Applications</t>
  </si>
  <si>
    <t>10.1145/3719664</t>
  </si>
  <si>
    <t>High-level Synthesis Directives Design Optimization via Large Language Model</t>
  </si>
  <si>
    <t>10.1145/3747291</t>
  </si>
  <si>
    <t>Design and Implementation of a Platform for Business Intelligence Knowledge Mining and Graph Construction Based on Deep Learning</t>
  </si>
  <si>
    <t>Proceedings of the 2nd International Symposium on Integrated Circuit Design and Integrated Systems</t>
  </si>
  <si>
    <t>10.1145/3772326.3774722</t>
  </si>
  <si>
    <t>Wireless Hearables With Programmable Speech AI Accelerators</t>
  </si>
  <si>
    <t>Proceedings of the 31st Annual International Conference on Mobile Computing and Networking</t>
  </si>
  <si>
    <t>10.1145/3680207.3765251</t>
  </si>
  <si>
    <t>Hermes: An FPGA-based NTT Accelerator Supporting Various Lengths for HHE</t>
  </si>
  <si>
    <t>10.1145/3742873.3755989</t>
  </si>
  <si>
    <t>Multi-level Machine Learning-Guided Autotuning for Efficient Code Generation on a Deep Learning Accelerator</t>
  </si>
  <si>
    <t>Proceedings of the 26th ACM SIGPLAN/SIGBED International Conference on Languages, Compilers, and Tools for Embedded Systems</t>
  </si>
  <si>
    <t>10.1145/3735452.3735538</t>
  </si>
  <si>
    <t>Interactive Visual Performance Space Exploration of Operational Amplifiers with Differentiable Neural Network Surrogate Models</t>
  </si>
  <si>
    <t>10.1145/3744245</t>
  </si>
  <si>
    <t>Construction of Churn Prediction Model and Decision Support System Combining User Behavioural Characteristics</t>
  </si>
  <si>
    <t>10.1145/3772326.3774723</t>
  </si>
  <si>
    <t>Democratizing Earable Computing via Hardware-Software Co-design</t>
  </si>
  <si>
    <t>Proceedings of the 23rd Annual International Conference on Mobile Systems, Applications and Services</t>
  </si>
  <si>
    <t>10.1145/3711875.3736676</t>
  </si>
  <si>
    <t>Design of a Hardware-Software Co-designed Real-Time Machine Learning System for Big Data Streams</t>
  </si>
  <si>
    <t>10.1145/3772326.3774742</t>
  </si>
  <si>
    <t>FuSenseRing: An Open-Source Platform for Robust Cuffless Blood Pressure Monitoring via Multimodal Sensor Fusion and Temperature-Adaptive Attention</t>
  </si>
  <si>
    <t>Proc. ACM Interact. Mob. Wearable Ubiquitous Technol.</t>
  </si>
  <si>
    <t>10.1145/3770689</t>
  </si>
  <si>
    <t>Invited: Artificial Netlist Generation for Enhanced Circuit Data Augmentation</t>
  </si>
  <si>
    <t>Proceedings of the 2025 International Symposium on Physical Design</t>
  </si>
  <si>
    <t>10.1145/3698364.3709121</t>
  </si>
  <si>
    <t>LHS: LLM Assisted Efficient High-level Synthesis of Deep Learning Tasks</t>
  </si>
  <si>
    <t>10.1145/3734523</t>
  </si>
  <si>
    <t>Leveraging Machine Learning Techniques for Traditional EDA Workflow Enhancement</t>
  </si>
  <si>
    <t>Proceedings of the Asia and South Pacific Design Automation Conference, ASP-DAC</t>
  </si>
  <si>
    <t>Conference paper</t>
  </si>
  <si>
    <t>10.1145/3658617.3703144</t>
  </si>
  <si>
    <t>FuncGNN: Learning Functional Semantics of Logic Circuits with Graph Neural Networks</t>
  </si>
  <si>
    <t>10.1145/3779445</t>
  </si>
  <si>
    <t>Enhancing BP Neural Networks with Particle Swarm Optimization for Prediction in Edge-Based Intelligent Systems</t>
  </si>
  <si>
    <t>10.1145/3772326.3774744</t>
  </si>
  <si>
    <t>Enhancing Modern SAT Solver With Machine Learning Method</t>
  </si>
  <si>
    <t>10.1145/3716368.3735251</t>
  </si>
  <si>
    <t>The ASPLOS 2025 / EuroSys 2025 Contest on Intra-Operator Parallelism for Distributed Deep Learning</t>
  </si>
  <si>
    <t>Proceedings of the 30th ACM International Conference on Architectural Support for Programming Languages and Operating Systems, Volume 3</t>
  </si>
  <si>
    <t>10.1145/3676642.3736399</t>
  </si>
  <si>
    <t>ADO-LLM: Analog Design Bayesian Optimization with In-Context Learning of Large Language Models</t>
  </si>
  <si>
    <t>10.1145/3676536.3676816</t>
  </si>
  <si>
    <t>Graph Neural Networks for Integrated Circuit Design, Reliability, and Security: Survey and Tool</t>
  </si>
  <si>
    <t>10.1145/3769081</t>
  </si>
  <si>
    <t>A Survey on Deep Learning Hardware Accelerators for Heterogeneous HPC Platforms</t>
  </si>
  <si>
    <t>10.1145/3729215</t>
  </si>
  <si>
    <t>Approximate Computing Survey, Part II: Application-Specific &amp;amp; Architectural Approximation Techniques and Applications</t>
  </si>
  <si>
    <t>10.1145/3711683</t>
  </si>
  <si>
    <t>Invited: Physical Design for Advanced 3D ICs: Challenges and Solutions</t>
  </si>
  <si>
    <t>10.1145/3698364.3709127</t>
  </si>
  <si>
    <t>Modeling and Verification of Sigma Delta Neural Networks using Satisfiability Modulo Theory</t>
  </si>
  <si>
    <t>10.1145/3735452.3735525</t>
  </si>
  <si>
    <t>Invited: Toward an ML EDA Commons: Establishing Standards, Accessibility, and Reproducibility in ML-driven EDA Research</t>
  </si>
  <si>
    <t>Proceedings of the International Symposium on Physical Design</t>
  </si>
  <si>
    <t>10.1145/3698364.3709131</t>
  </si>
  <si>
    <t>LLSM: LLM-enhanced Logic Synthesis Model with EDA-guided CoT Prompting, Hybrid Embedding and AIG-tailored Acceleration</t>
  </si>
  <si>
    <t>10.1145/3658617.3697618</t>
  </si>
  <si>
    <t>MTLSO: A Multi-Task Learning Approach for Logic Synthesis Optimization</t>
  </si>
  <si>
    <t>10.1145/3658617.3697721</t>
  </si>
  <si>
    <t>Invited: Modeling and Design Methodology for Backside Integration of Voltage Converters</t>
  </si>
  <si>
    <t>10.1145/3698364.3709128</t>
  </si>
  <si>
    <t>AHCA: Agile Design Framework for Hashcat Acceleration Based on FPGA</t>
  </si>
  <si>
    <t>10.1145/3770760</t>
  </si>
  <si>
    <t>LLMulator: Generalizable Cost Modeling for Dataflow Accelerators with Input-Adaptive Control Flow</t>
  </si>
  <si>
    <t>Proceedings of the 58th IEEE/ACM International Symposium on Microarchitecture</t>
  </si>
  <si>
    <t>10.1145/3725843.3756027</t>
  </si>
  <si>
    <t>A Review of AI in Human-Machine Cooperation: Machine Perspective</t>
  </si>
  <si>
    <t>ACM Trans. Auton. Adapt. Syst.</t>
  </si>
  <si>
    <t>10.1145/3774318</t>
  </si>
  <si>
    <t>Analog and Mixed-Signal IC Modeling and Optimization: An Artificial Intelligence Perspective</t>
  </si>
  <si>
    <t>10.1145/3754339</t>
  </si>
  <si>
    <t>Designing Object Detection Models for TinyML: Foundations, Comparative Analysis, Challenges, and Emerging Solutions</t>
  </si>
  <si>
    <t>10.1145/3744339</t>
  </si>
  <si>
    <t>Revisit MBFF: Efficient Early-Stage Multi-bit Flip-Flops Clustering with Physical and Timing Awareness</t>
  </si>
  <si>
    <t>10.1145/3658617.3697725</t>
  </si>
  <si>
    <t>MoDAF: A Multi-objective Divide-and-Conquer Parameter Tuning Framework for CGRAs</t>
  </si>
  <si>
    <t>10.1145/3766063</t>
  </si>
  <si>
    <t>CircuitSeer: RTL Post-PnR Delay Prediction via Coupling Functional and Structural Representation</t>
  </si>
  <si>
    <t>10.1145/3676536.3676668</t>
  </si>
  <si>
    <t>One-for-All: An Unified Learning-based Framework for Efficient Cross-Corner Timing Signoff</t>
  </si>
  <si>
    <t>10.1145/3676536.3676656</t>
  </si>
  <si>
    <t>Graph-Based Timing Prediction at Early-Stage RTL Using Large Language Model</t>
  </si>
  <si>
    <t>10.1145/3658617.3697742</t>
  </si>
  <si>
    <t>A Systematic Mapping Study on SystemC/TLM Modeling Capabilities in New Research Domains</t>
  </si>
  <si>
    <t>10.1145/3735641</t>
  </si>
  <si>
    <t>A Workload-Balance-Aware Accelerator Enabling Dense-to-Arbitrary-Sparse Neural Networks</t>
  </si>
  <si>
    <t>10.1145/3725532</t>
  </si>
  <si>
    <t>LOFMPL: An Open-source Logic Optimization Framework with MFFC-based Hypergraph Partition and Reinforcement Learning for Large Circuits</t>
  </si>
  <si>
    <t>10.1145/3776740</t>
  </si>
  <si>
    <t>Generative Methods in EDA: Innovations in Dataset Generation and EDA Tool Assistants</t>
  </si>
  <si>
    <t>10.1145/3676536.3697122</t>
  </si>
  <si>
    <t>RedPIM: An Efficient PIM Accelerator Design with Reduced Analog-to-Digital Conversions</t>
  </si>
  <si>
    <t>10.1145/3769122</t>
  </si>
  <si>
    <t>ChatDSE: A Zero-Shot Microarchitecture Design Space Explorer Powered by GPT4.0</t>
  </si>
  <si>
    <t>10.1145/3735640</t>
  </si>
  <si>
    <t>Large Language Models for EDA: Future or Mirage?</t>
  </si>
  <si>
    <t>10.1145/3736167</t>
  </si>
  <si>
    <t>2024 ICCAD CAD Contest Problem C: Scalable Logic Gate Sizing Using ML Techniques and GPU Acceleration</t>
  </si>
  <si>
    <t>10.1145/3676536.3689912</t>
  </si>
  <si>
    <t>JigsawPlanner: Jigsaw-like Floorplanner for Eliminating Whitespace and Overlap among Complex Rectilinear Modules</t>
  </si>
  <si>
    <t>10.1145/3676536.3676707</t>
  </si>
  <si>
    <t>COSMOS: RL-Enhanced Locality-Aware Counter Cache Optimization for Secure Memory</t>
  </si>
  <si>
    <t>10.1145/3725843.3756047</t>
  </si>
  <si>
    <t>PointISA: ISA-Extensions for Efficient Point Cloud Analytics via Architecture and Algorithm Co-Design</t>
  </si>
  <si>
    <t>10.1145/3725843.3756122</t>
  </si>
  <si>
    <t>RankTuner: When Design Tool Parameter Tuning Meets Preference Bayesian Optimization</t>
  </si>
  <si>
    <t>10.1145/3676536.3676782</t>
  </si>
  <si>
    <t>A Self-Supervised, Pre-Trained, and Cross-Stage-Aligned Circuit Encoder Provides a Foundation for Various Design Tasks</t>
  </si>
  <si>
    <t>10.1145/3658617.3697597</t>
  </si>
  <si>
    <t>Tutorial: Hardware-Aware Compilation and Simulation for In-Memory Computing</t>
  </si>
  <si>
    <t>Proceedings of the International Conference on Compilers, Architecture, and Synthesis for Embedded Systems</t>
  </si>
  <si>
    <t>10.1145/3742872.3758333</t>
  </si>
  <si>
    <t>TernaryGNNs: A High-Throughput, Area-Efficient Ternary Weight GNNs Inference Framework on CPU-FPGA Heterogeneous Platform</t>
  </si>
  <si>
    <t>10.1145/3776568</t>
  </si>
  <si>
    <t>APTO: Accelerating Serialization-Based Point Cloud Transformers with Position-Aware Pruning</t>
  </si>
  <si>
    <t>10.1145/3658617.3697655</t>
  </si>
  <si>
    <t>Empowering Edge Intelligence: A Comprehensive Survey on On-Device AI Models</t>
  </si>
  <si>
    <t>10.1145/3724420</t>
  </si>
  <si>
    <t>Optimization of DNN-based HSI Segmentation FPGA-based SoC for ADS: A Practical Approach</t>
  </si>
  <si>
    <t>ACM Transactions on Embedded Computing Systems</t>
  </si>
  <si>
    <t>10.1145/3748722</t>
  </si>
  <si>
    <t>FedTM: Federated ASIC Technology Mapping</t>
  </si>
  <si>
    <t>10.1145/3777417</t>
  </si>
  <si>
    <t>A Survey of Research in Large Language Models for Electronic Design Automation</t>
  </si>
  <si>
    <t>ACM Transactions on Design Automation of Electronic Systems</t>
  </si>
  <si>
    <t>10.1145/3715324</t>
  </si>
  <si>
    <t>LoRaSeek: Boosting Denoising Ability in Neural-enhanced LoRa Decoder via Hierarchical Feature Extraction</t>
  </si>
  <si>
    <t>10.1145/3680207.3765241</t>
  </si>
  <si>
    <t>Concurrent Prediction of Timing and wire Length Using A Multi-Task Graph Neural Network</t>
  </si>
  <si>
    <t>10.1145/3747181</t>
  </si>
  <si>
    <t>Circuit Synthesis based on Hierarchical Conditional Diffusion</t>
  </si>
  <si>
    <t>10.1145/3716368.3735204</t>
  </si>
  <si>
    <t>Fuzzing MLIR Compilers with Custom Mutation Synthesis</t>
  </si>
  <si>
    <t>Proceedings of the IEEE/ACM 47th International Conference on Software Engineering</t>
  </si>
  <si>
    <t>10.1109/ICSE55347.2025.00037</t>
  </si>
  <si>
    <t>Diwall: A Lightweight Host Intrusion Detection System Against Jamming and Packet Injection Attacks</t>
  </si>
  <si>
    <t>10.1145/3711833</t>
  </si>
  <si>
    <t>Concerto: Automatic Communication Optimization and Scheduling for Large-Scale Deep Learning</t>
  </si>
  <si>
    <t>Proceedings of the 30th ACM International Conference on Architectural Support for Programming Languages and Operating Systems, Volume 1</t>
  </si>
  <si>
    <t>10.1145/3669940.3707223</t>
  </si>
  <si>
    <t>MARS: Processing-In-Memory Acceleration of Raw Signal Genome Analysis Inside the Storage Subsystem</t>
  </si>
  <si>
    <t>Proceedings of the 39th ACM International Conference on Supercomputing</t>
  </si>
  <si>
    <t>10.1145/3721145.3730428</t>
  </si>
  <si>
    <t>Deep Learning on RISC-V Platforms at the Edge: A Perspective on the Hardware and Software Support</t>
  </si>
  <si>
    <t>10.1145/3772277</t>
  </si>
  <si>
    <t>Towards Fully Disaggregated Recommendation Model Serving</t>
  </si>
  <si>
    <t>Proceedings of the 16th ACM SIGOPS Asia-Pacific Workshop on Systems</t>
  </si>
  <si>
    <t>10.1145/3725783.3764389</t>
  </si>
  <si>
    <t>Cypress: VLSI-Inspired PCB Placement with GPU Acceleration</t>
  </si>
  <si>
    <t>10.1145/3698364.3705346</t>
  </si>
  <si>
    <t>DFlows: A Flow-Based Programming Approach for a Polyglot Design-Space Exploration Framework</t>
  </si>
  <si>
    <t>10.1145/3717837</t>
  </si>
  <si>
    <t>Computing Systems for Superconducting Qubits: Challenges and Opportunities</t>
  </si>
  <si>
    <t>10.1145/3711875.3737657</t>
  </si>
  <si>
    <t>Are LLMs Any Good for High-Level Synthesis?</t>
  </si>
  <si>
    <t>10.1145/3676536.3699507</t>
  </si>
  <si>
    <t>Early Stage DRC Hotspot Prediction for Mixed-Size Designs Through an Efficient Graph-Based Deep Learning</t>
  </si>
  <si>
    <t>10.1145/3733236</t>
  </si>
  <si>
    <t>Automatically Improving LLM-based Verilog Generation using EDA Tool Feedback</t>
  </si>
  <si>
    <t>10.1145/3723876</t>
  </si>
  <si>
    <t>MERE: Hardware-Software Co-Design for Masking Cache Miss Latency in Embedded Processors</t>
  </si>
  <si>
    <t>10.1145/3762654</t>
  </si>
  <si>
    <t>FSMoE: A Flexible and Scalable Training System for Sparse Mixture-of-Experts Models</t>
  </si>
  <si>
    <t>10.1145/3669940.3707272</t>
  </si>
  <si>
    <t>Titan-I: An Open-Source, High Performance RISC-V Vector Core</t>
  </si>
  <si>
    <t>10.1145/3725843.3756059</t>
  </si>
  <si>
    <t>Physically Aware Synthesis Revisited: Guiding Technology Mapping with Primitive Logic Gate Placement</t>
  </si>
  <si>
    <t>10.1145/3676536.3676676</t>
  </si>
  <si>
    <t>Design Space Exploration for Scalable DNN Accelerators Using a Memory-Centric Analytical Model for HW/SW Co-Design</t>
  </si>
  <si>
    <t>10.1145/3729227</t>
  </si>
  <si>
    <t>HyperPlace: Harnessing a Large Language Model for Efficient Hyperparameter Optimization in GPU-Accelerated VLSI Placement</t>
  </si>
  <si>
    <t>10.1145/3733601</t>
  </si>
  <si>
    <t>ISRLUT: Integer-Only FHD Image Super-Resolution Based&amp;nbsp;on&amp;nbsp;Neural Lookup Table and Near-Memory Computing</t>
  </si>
  <si>
    <t>10.1145/3770759</t>
  </si>
  <si>
    <t>OpenLLM-RTL: Open Dataset and Benchmark for LLM-Aided Design RTL Generation</t>
  </si>
  <si>
    <t>10.1145/3676536.3697118</t>
  </si>
  <si>
    <t>LEAP: Learning guided Quality Cut selection for faster Technology Mapping</t>
  </si>
  <si>
    <t>10.1145/3676536.3676797</t>
  </si>
  <si>
    <t>Dissecting and Modeling the Architecture of Modern GPU Cores</t>
  </si>
  <si>
    <t>10.1145/3725843.3756041</t>
  </si>
  <si>
    <t>GreyConE+: EÃ¯Â¬Â€icient Rare-Target Test Generation for FPGA HLS Designs</t>
  </si>
  <si>
    <t>10.1145/3769295</t>
  </si>
  <si>
    <t>RANGE-BLOCKS: A Synchronization Facility for Domain-Specific Architectures</t>
  </si>
  <si>
    <t>10.1145/3669940.3707225</t>
  </si>
  <si>
    <t>OASIS: A Commercial High Performance Terminal AI Processor Supporting RISC-V Tensor Extension Instructions</t>
  </si>
  <si>
    <t>10.1145/3725843.3756054</t>
  </si>
  <si>
    <t>LEGALM: Efficient Legalization for Mixed-Cell-Height Circuits with Linearized Augmented Lagrangian Method</t>
  </si>
  <si>
    <t>10.1145/3698364.3705356</t>
  </si>
  <si>
    <t>HDLdebugger: Streamlining HDL debugging with Large Language Models</t>
  </si>
  <si>
    <t>10.1145/3735638</t>
  </si>
  <si>
    <t>DR-CircuitGNN: Training Acceleration of Heterogeneous Circuit Graph Neural Network on GPUs</t>
  </si>
  <si>
    <t>10.1145/3721145.3734528</t>
  </si>
  <si>
    <t>HARNESS: Holistic Resource Management for Diversely Scaled Edge Cloud Systems</t>
  </si>
  <si>
    <t>10.1145/3721145.3729518</t>
  </si>
  <si>
    <t>MaxEmbed: Maximizing SSD bandwidth utilization for huge embedding models serving</t>
  </si>
  <si>
    <t>Proceedings of the 29th ACM International Conference on Architectural Support for Programming Languages and Operating Systems, Volume 4</t>
  </si>
  <si>
    <t>10.1145/3622781.3674172</t>
  </si>
  <si>
    <t>ConfiBench: Automatic Testbench Generation with Confidence-Based Scenario Mask and Testbench Ensemble using LLMs for HDL Design</t>
  </si>
  <si>
    <t>10.1145/3773087</t>
  </si>
  <si>
    <t>Systolic Arrays and Structured Pruning Co-design for Efficient Transformers in Edge Systems</t>
  </si>
  <si>
    <t>10.1145/3716368.3735158</t>
  </si>
  <si>
    <t>MegIS: High-Performance, Energy-Efficient, and Low-Cost Metagenomic Analysis with In-Storage Processing</t>
  </si>
  <si>
    <t>Proceedings of the 51st Annual International Symposium on Computer Architecture</t>
  </si>
  <si>
    <t>10.1109/ISCA59077.2024.00054</t>
  </si>
  <si>
    <t>FilterFL: Knowledge Filtering-based Data-Free Backdoor Defense for Federated Learning</t>
  </si>
  <si>
    <t>Proceedings of the 2025 ACM SIGSAC Conference on Computer and Communications Security</t>
  </si>
  <si>
    <t>10.1145/3719027.3744883</t>
  </si>
  <si>
    <t>ConSmax: Hardware-Friendly Alternative Softmax with Learnable Parameters</t>
  </si>
  <si>
    <t>10.1145/3676536.3676766</t>
  </si>
  <si>
    <t>SideDRAM: Integrating SoftSIMD Datapaths near DRAM Banks for Energy-Efficient Variable Precision Computation</t>
  </si>
  <si>
    <t>10.1145/3762641</t>
  </si>
  <si>
    <t>ACE-of-SPADEs: Accelerating Spatially Sparse Convolution for 3D Scene Understanding</t>
  </si>
  <si>
    <t>10.1145/3759457</t>
  </si>
  <si>
    <t>PlatformX: An End-to-End Transferable Platform for Energy-Efficient Neural Architecture Search</t>
  </si>
  <si>
    <t>Proceedings of the Tenth ACM/IEEE Symposium on Edge Computing</t>
  </si>
  <si>
    <t>10.1145/3769102.3770622</t>
  </si>
  <si>
    <t>B</t>
  </si>
  <si>
    <t>ReGate: Enabling Power Gating in Neural Processing Units</t>
  </si>
  <si>
    <t>10.1145/3725843.3756038</t>
  </si>
  <si>
    <t>LightNobel: Improving Sequence Length Limitation in Protein Structure Prediction Model via Adaptive Activation Quantization</t>
  </si>
  <si>
    <t>Proceedings of the 52nd Annual International Symposium on Computer Architecture</t>
  </si>
  <si>
    <t>10.1145/3695053.3731006</t>
  </si>
  <si>
    <t>TSO-Flow: A Topology Synthesis and Optimization Workflow for Operational Amplifiers with Invertible Graph Generative Model</t>
  </si>
  <si>
    <t>10.1145/3676536.3676693</t>
  </si>
  <si>
    <t>Multi-Tenant Cloud FPGA: A Survey on Security, Trust, and Privacy</t>
  </si>
  <si>
    <t>10.1145/3713078</t>
  </si>
  <si>
    <t>PricoEye: The Eye of Primary Colors for Fast and Convenient 3D Reconstruction of Fine-grained Palmprint on Smartphones</t>
  </si>
  <si>
    <t>Proceedings of the 38th Annual ACM Symposium on User Interface Software and Technology</t>
  </si>
  <si>
    <t>10.1145/3746059.3747786</t>
  </si>
  <si>
    <t>A Canonical Test Representation for Verification of Shared-Memory Behavior in Multiprocessor Systems</t>
  </si>
  <si>
    <t>10.1145/3762184</t>
  </si>
  <si>
    <t>agentAR: Creating Augmented Reality Applications with Tool-Augmented LLM-based Autonomous Agents</t>
  </si>
  <si>
    <t>10.1145/3746059.3747676</t>
  </si>
  <si>
    <t>Securing Network-on-Chips against Trojan-Induced Packet Duplication Attacks</t>
  </si>
  <si>
    <t>10.1145/3744645</t>
  </si>
  <si>
    <t>Efficient Task Transfer for HLS DSE</t>
  </si>
  <si>
    <t>10.1145/3676536.3676723</t>
  </si>
  <si>
    <t>HMSA: High-Performance Heterogeneous Mixed-Precision CNN Systolic Array Accelerator on FPGA</t>
  </si>
  <si>
    <t>10.1145/3759458</t>
  </si>
  <si>
    <t>Caravan: A Hardware/Software Co-Design for Efficient SIMD Neighbor Search on Point Clouds</t>
  </si>
  <si>
    <t>10.1145/3695053.3731075</t>
  </si>
  <si>
    <t>SecuPilot: A Security Coprocessor-Integrated Platform for Autonomous UAV Security</t>
  </si>
  <si>
    <t>10.1145/3762642</t>
  </si>
  <si>
    <t>LLMCompass: Enabling Efficient Hardware Design for Large Language Model Inference</t>
  </si>
  <si>
    <t>10.1109/ISCA59077.2024.00082</t>
  </si>
  <si>
    <t>The Dataflow Abstract Machine Simulator Framework</t>
  </si>
  <si>
    <t>10.1109/ISCA59077.2024.00046</t>
  </si>
  <si>
    <t>Accelerating Retrieval-Augmented Generation</t>
  </si>
  <si>
    <t>10.1145/3669940.3707264</t>
  </si>
  <si>
    <t>Incorporating Sustainability in Electronics Design: Obstacles and Opportunities</t>
  </si>
  <si>
    <t>Proceedings of the 2025 CHI Conference on Human Factors in Computing Systems</t>
  </si>
  <si>
    <t>10.1145/3706598.3713299</t>
  </si>
  <si>
    <t>NDSearch: Accelerating Graph-Traversal-Based Approximate Nearest Neighbor Search through Near Data Processing</t>
  </si>
  <si>
    <t>10.1109/ISCA59077.2024.00035</t>
  </si>
  <si>
    <t>Real-time, Work-conserving GPU Scheduling for Concurrent DNN Inference</t>
  </si>
  <si>
    <t>ACM Trans. Comput. Syst.</t>
  </si>
  <si>
    <t>10.1145/3768622</t>
  </si>
  <si>
    <t>Optimizing TCN Inference: A Hardware-Software Co-Design Approach with CGRA Acceleration,</t>
  </si>
  <si>
    <t>2025 IEEE Computer Society Annual Symposium on VLSI (ISVLSI)</t>
  </si>
  <si>
    <t>10.1109/ISVLSI65124.2025.11130330</t>
  </si>
  <si>
    <t>Design of Machine Learning Accelerators as RISC-V Extensions using an Open Source Tool Flow,</t>
  </si>
  <si>
    <t>2025 IEEE/ACM International Conference On Computer Aided Design (ICCAD)</t>
  </si>
  <si>
    <t>10.1109/ICCAD66269.2025.11240834</t>
  </si>
  <si>
    <t>Invited Paper: APS: Open-Source Hardware-Software Co-Design Framework for Agile Processor Specialization,</t>
  </si>
  <si>
    <t>10.1109/ICCAD66269.2025.11240817</t>
  </si>
  <si>
    <t>AI-Driven Integrated Circuit Design: A Survey of Techniques, Challenges, and Opportunities</t>
  </si>
  <si>
    <t>10.1109/ACCESS.2025.3607865</t>
  </si>
  <si>
    <t>Invited: IEEE DATC RDF-2025: Enabling an EDA Research Ecosystem,</t>
  </si>
  <si>
    <t>10.1109/ICCAD66269.2025.11240743</t>
  </si>
  <si>
    <t>AI-Powered Workflow Completion in the Online-CADCOM Platform,</t>
  </si>
  <si>
    <t>2025 International Conference on Software</t>
  </si>
  <si>
    <t>10.23919/SoftCOM66362.2025.11197450</t>
  </si>
  <si>
    <t>PRO-TIME: Prerouting Optimization-Aware Timing Prediction via Multimodal Learning,</t>
  </si>
  <si>
    <t>10.1109/TCAD.2025.3569488</t>
  </si>
  <si>
    <t>URoute: Universal Routability Prediction,</t>
  </si>
  <si>
    <t>10.1109/TCAD.2025.3636449</t>
  </si>
  <si>
    <t>Anomaly Detection in IoT Computing Platform Using Self-Timed Data-Driven Processor,</t>
  </si>
  <si>
    <t>2025 IEEE 15th Annual Computing and Communication Workshop and Conference (CCWC)</t>
  </si>
  <si>
    <t>10.1109/CCWC62904.2025.10903897</t>
  </si>
  <si>
    <t>Poster: Automated Trunk Nodes Placement for Distributed Clock Networks Using Data-Driven Clustering,</t>
  </si>
  <si>
    <t>2025 IEEE International Symposium on Parallel and Distributed Processing with Applications (ISPA)</t>
  </si>
  <si>
    <t>10.1109/ISPA67752.2025.00216</t>
  </si>
  <si>
    <t>Leveraging Convolutional Autoencoders for Post-Layout Performance Estimation of Analog ICs,</t>
  </si>
  <si>
    <t>2025 32nd IEEE International Conference on Electronics</t>
  </si>
  <si>
    <t>10.1109/ICECS66544.2025.11270804</t>
  </si>
  <si>
    <t>Routability-Aware FPGA Design Automation with Graph Transformer Models,</t>
  </si>
  <si>
    <t>2025 37th International Conference on Microelectronics (ICM)</t>
  </si>
  <si>
    <t>10.1109/ICM66518.2025.11322460</t>
  </si>
  <si>
    <t>HHEML: Hybrid Homomorphic Encryption for Privacy-Preserving Machine Learning on Edge</t>
  </si>
  <si>
    <t>Proceedings - International Conference on Field-Programmable Technology, ICFPT</t>
  </si>
  <si>
    <t>10.1109/ICFPT67023.2025.00045</t>
  </si>
  <si>
    <t>Sign-Off Timing Considerations via Concurrent Routing Topology Optimization,</t>
  </si>
  <si>
    <t>10.1109/TCAD.2024.3506216</t>
  </si>
  <si>
    <t>ZeroSim: Zero-Shot Analog Circuit Evaluation with Unified Transformer Embeddings,</t>
  </si>
  <si>
    <t>10.1109/ICCAD66269.2025.11240890</t>
  </si>
  <si>
    <t>Physics-Informed Data-Driven KNN Methodology of Modeling NCFETs for Superior Circuit Performance,</t>
  </si>
  <si>
    <t>IEEE Transactions on Electron Devices</t>
  </si>
  <si>
    <t>10.1109/TED.2025.3611913</t>
  </si>
  <si>
    <t>MAD-Flow: An Efficient Deployment Flow for Memory-Bank-Based Anomaly Detection on FPGA-SoCs,</t>
  </si>
  <si>
    <t>10.1109/JIOT.2025.3605880</t>
  </si>
  <si>
    <t>Efficient Hold Buffer Optimization by Supply Noise-Aware Dynamic Timing Analysis,</t>
  </si>
  <si>
    <t>2025 Design</t>
  </si>
  <si>
    <t>10.23919/DATE64628.2025.10993269</t>
  </si>
  <si>
    <t>Building a Machine Learning Accelerator with Silicon Dangling Bonds: From Verilog to Quantum Dot Layout</t>
  </si>
  <si>
    <t>Proceedings of the IEEE Conference on Nanotechnology</t>
  </si>
  <si>
    <t>10.1109/NANO63165.2025.11113747</t>
  </si>
  <si>
    <t>Transferable Presynthesis PPA Estimation for RTL Designs with Data Augmentation Techniques</t>
  </si>
  <si>
    <t>10.1109/TCAD.2024.3420904</t>
  </si>
  <si>
    <t>A Mini-Review of Methods for Forecasting Post Routing Congestion from Placement in FPGA Physical Design,</t>
  </si>
  <si>
    <t>2025 6th International Conference on Artificial Intelligence</t>
  </si>
  <si>
    <t>10.1109/AIRC64931.2025.11077527</t>
  </si>
  <si>
    <t>RollPlace: Improving Macro Placement via Monte Carlo Rollout Search,</t>
  </si>
  <si>
    <t>10.1109/TCAD.2025.3635566</t>
  </si>
  <si>
    <t>An Optimization-Aware Prerouting Timing Prediction Framework Based on Multimodal Learning,</t>
  </si>
  <si>
    <t>10.1109/TCAD.2025.3547806</t>
  </si>
  <si>
    <t>The Artificial Scientist: In-Transit Machine Learning of Plasma Simulations</t>
  </si>
  <si>
    <t>Proceedings of the IEEE International Parallel and Distributed Processing Symposium, IPDPS</t>
  </si>
  <si>
    <t>10.1109/IPDPS64566.2025.00043</t>
  </si>
  <si>
    <t>Bring Your Own Code: A Simulation Framework to Harness Optimization, Artificial Intelligence, and Automation Techniques for Microwave Design,</t>
  </si>
  <si>
    <t>IEEE Microwave Magazine</t>
  </si>
  <si>
    <t>10.1109/MMM.2025.3617448</t>
  </si>
  <si>
    <t>A Hierarchical Graph-Aware Learning Framework for Scalable and Generalizable VLSI Placement,</t>
  </si>
  <si>
    <t>2025 Third International Conference on Networks</t>
  </si>
  <si>
    <t>10.1109/NMITCON65824.2025.11188124</t>
  </si>
  <si>
    <t>Fast Retraining of Approximate CNNs for High Accuracy,</t>
  </si>
  <si>
    <t>10.1109/TCAD.2024.3483091</t>
  </si>
  <si>
    <t>VIRTUAL: Vector-based Dynamic Power Estimation via Decoupled Multi-Modality Learning,</t>
  </si>
  <si>
    <t>10.1109/ICCAD66269.2025.11240833</t>
  </si>
  <si>
    <t>Edge AI-BrainÃ¢Â€Â“Computer Interfaces System: A Survey</t>
  </si>
  <si>
    <t>IEEE Transactions on Neural Systems and Rehabilitation Engineering</t>
  </si>
  <si>
    <t>10.1109/TNSRE.2025.3618688</t>
  </si>
  <si>
    <t>HIPPO: A Hierarchy-Preserving and Noise-Tolerant Pre-HLS Power Modeling Framework for FPGA,</t>
  </si>
  <si>
    <t>10.1109/ICCAD66269.2025.11240868</t>
  </si>
  <si>
    <t>FPGA-Optimized Sleep Apnea Detector From ECG Sensor Data Using DWT and Wide Neural Networks</t>
  </si>
  <si>
    <t>10.1109/ACCESS.2025.3646596</t>
  </si>
  <si>
    <t>Three SoCs in Three Years: How to Get Agile,</t>
  </si>
  <si>
    <t>IEEE Micro</t>
  </si>
  <si>
    <t>10.1109/MM.2025.3534917</t>
  </si>
  <si>
    <t>Autoencoder-Augmented Graph Neural Networks for Accurate and Scalable Structure Recognition in Analog/Mixed-Signal Schematics</t>
  </si>
  <si>
    <t>10.1109/ACCESS.2025.3591720</t>
  </si>
  <si>
    <t>BUFFALO: PPA-Configurable, LLM-based Buffer Tree Generation via Group Relative Policy Optimization,</t>
  </si>
  <si>
    <t>10.1109/ICCAD66269.2025.11240744</t>
  </si>
  <si>
    <t>A Comprehensive Survey of Clock-Gating Techniques for Low-Power VLSI Design,</t>
  </si>
  <si>
    <t>2025 9th International Conference on Electronics</t>
  </si>
  <si>
    <t>10.1109/ICECA66444.2025.11383489</t>
  </si>
  <si>
    <t>Atleus: Accelerating Transformers on the Edge Enabled by 3D Heterogeneous Manycore Architectures,</t>
  </si>
  <si>
    <t>10.1109/TCAD.2025.3531255</t>
  </si>
  <si>
    <t>PMTV PUF: Power-Aware and ML-Secure PUF with Tolerance to Temperature and Voltage Fluctuations,</t>
  </si>
  <si>
    <t>10.1109/TCAD.2025.3634304</t>
  </si>
  <si>
    <t>Realization of Early-Exit Dynamic Neural Networks on Reconfigurable Hardware,</t>
  </si>
  <si>
    <t>10.1109/TCAD.2024.3519055</t>
  </si>
  <si>
    <t>MULSAM: Multidimensional Attention With Hardware Acceleration for Efficient Intrusion Detection on Vehicular CAN Bus,</t>
  </si>
  <si>
    <t>10.1109/TCAD.2025.3541566</t>
  </si>
  <si>
    <t>Tri-HD: Energy-Efficient On-Chip Learning With In-Memory Hyperdimensional Computing,</t>
  </si>
  <si>
    <t>10.1109/TCAD.2024.3435679</t>
  </si>
  <si>
    <t>Para-Pipe: Exploiting Hierarchical Operator Parallelism of ML Computational Graphs on SoCs,</t>
  </si>
  <si>
    <t>10.1109/TCAD.2025.3568348</t>
  </si>
  <si>
    <t>APU: Accelerate Point Cloud Neural Networks via Unified Processing-in-SRAM Architecture,</t>
  </si>
  <si>
    <t>10.1109/TCAD.2025.3641024</t>
  </si>
  <si>
    <t>Non-Contact Rapid Neck Socket Depth and Shoulder Width Measurement for Pillow Design,</t>
  </si>
  <si>
    <t>10.1109/ACCESS.2025.3586930</t>
  </si>
  <si>
    <t>Edge-Accelerated Fall Detection Via Mmwave Biosensing and Quantized CNN: A Soft-Hardware Co-Design Approach</t>
  </si>
  <si>
    <t>Proceedings - 2025 IEEE International Conference on Bioinformatics and Biomedicine, BIBM 2025</t>
  </si>
  <si>
    <t>10.1109/BIBM66473.2025.11356382</t>
  </si>
  <si>
    <t>ParSGCN: Bridging the Gap Between Emulation Partitioning and Scheduling,</t>
  </si>
  <si>
    <t>10.1109/TCAD.2024.3453199</t>
  </si>
  <si>
    <t>Human-AI Collaborative Design of ReActNet-XGBoost Hardware Accelerator for Personalized Wearable ECG Monitoring,</t>
  </si>
  <si>
    <t>2025 IEEE 37th International Conference on Tools with Artificial Intelligence (ICTAI)</t>
  </si>
  <si>
    <t>10.1109/ICTAI66417.2025.00215</t>
  </si>
  <si>
    <t>MTrain: Enable Efficient CNN Training on Heterogeneous FPGA-Based Edge Servers,</t>
  </si>
  <si>
    <t>10.1109/TCAD.2025.3541486</t>
  </si>
  <si>
    <t>Embedded Hardware-Efficient FPGA Architecture for SVM Learning and Inference,</t>
  </si>
  <si>
    <t>10.1109/ACCESS.2025.3562453</t>
  </si>
  <si>
    <t>Comprehensive application of denoising diffusion probabilistic models towards the automation of analog integrated circuit sizing</t>
  </si>
  <si>
    <t>Expert Systems with Applications</t>
  </si>
  <si>
    <t>10.1016/j.eswa.2025.128414</t>
  </si>
  <si>
    <t>Eh-DRVP: Combining placement and global routing data in a hyper-image-based DRV predictor</t>
  </si>
  <si>
    <t>Integration</t>
  </si>
  <si>
    <t>10.1016/j.vlsi.2024.102309</t>
  </si>
  <si>
    <t>High-Speed Compute-Efficient Bandit Learning for Many Arms</t>
  </si>
  <si>
    <t>IEEE Transactions on Very Large Scale Integration (VLSI) Systems</t>
  </si>
  <si>
    <t>10.1109/TVLSI.2025.3573924</t>
  </si>
  <si>
    <t>GATOR: A Graph Neural Network based Design Anomaly Predictor</t>
  </si>
  <si>
    <t>10.1016/j.vlsi.2025.102452</t>
  </si>
  <si>
    <t>ModelGen: Automating Semiconductor Parameter Extraction with Large Language Model Agents</t>
  </si>
  <si>
    <t>10.1145/3736165</t>
  </si>
  <si>
    <t>SmartNIC-GPU-CPU Heterogeneous System for Large Machine Learning Model with Software-Hardware Codesign</t>
  </si>
  <si>
    <t>Proceedings of the International Conference on Supercomputing</t>
  </si>
  <si>
    <t>10.1145/3721145.3729514</t>
  </si>
  <si>
    <t>KAM-Net: Kilobyte-Scale Ultralightweight Attention-Based Network for Glass Defect Detection With Algorithm/Hardware Co-Design</t>
  </si>
  <si>
    <t>IEEE Transactions on Instrumentation and Measurement</t>
  </si>
  <si>
    <t>10.1109/TIM.2025.3593602</t>
  </si>
  <si>
    <t>Vina-FPGA2: a high-level parallelized hardware-accelerated molecular docking tool based on the inter-module pipeline</t>
  </si>
  <si>
    <t>Frontiers of Information Technology and Electronic Engineering</t>
  </si>
  <si>
    <t>10.1631/FITEE.2400941</t>
  </si>
  <si>
    <t>FMB: A functional manipulation benchmark for generalizable robotic learning</t>
  </si>
  <si>
    <t>International Journal of Robotics Research</t>
  </si>
  <si>
    <t>10.1177/02783649241276017</t>
  </si>
  <si>
    <t>Hardware-Informed Applications, Application-Informed Hardware</t>
  </si>
  <si>
    <t>IEEE Nanotechnology Magazine</t>
  </si>
  <si>
    <t>10.1109/MNANO.2025.3585999</t>
  </si>
  <si>
    <t>AI Based Predictive Power Optimization in Digital VLSI Circuits</t>
  </si>
  <si>
    <t>2025 17th IEEE International Conference on Computational Intelligence and Communication Networks, CICN 2025</t>
  </si>
  <si>
    <t>10.1109/CICN67655.2025.11368208</t>
  </si>
  <si>
    <t>SwiftChannel: Algorithm-Hardware Co-Design for Deep Learning-Based 5G Channel Estimation</t>
  </si>
  <si>
    <t>IEEE Transactions on Mobile Computing</t>
  </si>
  <si>
    <t>10.1109/TMC.2025.3647644</t>
  </si>
  <si>
    <t>Optimizing hardware-software co-design based on non-ideality in memristor crossbars for in-memory computing</t>
  </si>
  <si>
    <t>10.1007/s11432-024-4240-x</t>
  </si>
  <si>
    <t>Deep learning-based prediction of major page faults in cluster systems</t>
  </si>
  <si>
    <t>CCF Transactions on High Performance Computing</t>
  </si>
  <si>
    <t>10.1007/s42514-025-00233-2</t>
  </si>
  <si>
    <t>Machine learning inference serving models in serverless computing: a survey</t>
  </si>
  <si>
    <t>Computing</t>
  </si>
  <si>
    <t>10.1007/s00607-024-01377-9</t>
  </si>
  <si>
    <t>Hybrid Wafer Defect Detection and Segmentation Using Verilog-Based Image Preprocessing and Deep Learning Architectures</t>
  </si>
  <si>
    <t>Arabian Journal for Science and Engineering</t>
  </si>
  <si>
    <t>10.1007/s13369-025-10870-y</t>
  </si>
  <si>
    <t>Physics-informed machine learning for compact modeling and variability prediction of 2D material-based THz transistors</t>
  </si>
  <si>
    <t>Journal of Electrical Systems and Information Technology</t>
  </si>
  <si>
    <t>10.1186/s43067-025-00278-x</t>
  </si>
  <si>
    <t>Agile methodologies for the development of radiation-hardened integrated circuits</t>
  </si>
  <si>
    <t>The European Physical Journal Special Topics</t>
  </si>
  <si>
    <t>10.1140/epjs/s11734-025-01754-1</t>
  </si>
  <si>
    <t>A comparative study of artificial intelligence-based approaches for colorectal cancer diagnosis</t>
  </si>
  <si>
    <t>Discover Applied Sciences</t>
  </si>
  <si>
    <t>10.1007/s42452-025-08000-2</t>
  </si>
  <si>
    <t>Edge resource scaling in B5G/6G networks using diffractive deep sparse graph attention neural network with orchard algorithm</t>
  </si>
  <si>
    <t>Iran Journal of Computer Science</t>
  </si>
  <si>
    <t>10.1007/s42044-025-00326-9</t>
  </si>
  <si>
    <t>Emerging trends and clinical challenges in AI-enhanced emotion diagnosis using physiological data</t>
  </si>
  <si>
    <t>10.1007/s11517-025-03435-6</t>
  </si>
  <si>
    <t>A critical review on electronic materials properties and multifunctional applications</t>
  </si>
  <si>
    <t>Discover Materials</t>
  </si>
  <si>
    <t>10.1007/s43939-025-00517-y</t>
  </si>
  <si>
    <t>DevQCC: &lt;Emphasis Type="Underline"&gt;Dev&lt;/Emphasis&gt;ice-Aware &lt;Emphasis Type="Underline"&gt;Q&lt;/Emphasis&gt;uantum &lt;Emphasis Type="Underline"&gt;C&lt;/Emphasis&gt;ircuit &lt;Emphasis Type="Underline"&gt;C&lt;/Emphasis&gt;utting framework with applications in quantum machine learning</t>
  </si>
  <si>
    <t>Quantum Machine Intelligence</t>
  </si>
  <si>
    <t>10.1007/s42484-025-00313-0</t>
  </si>
  <si>
    <t>Deep reinforcement learning for job scheduling on load-aware heterogeneous cluster</t>
  </si>
  <si>
    <t>Journal of Big Data</t>
  </si>
  <si>
    <t>10.1186/s40537-025-01325-0</t>
  </si>
  <si>
    <t>PCB routing on unstructured meshes with conflict-based search</t>
  </si>
  <si>
    <t>10.1007/s11227-025-07569-0</t>
  </si>
  <si>
    <t>Optimization Strategies and Algorithms for Accelerating CNN on FPGA: A Comprehensive Review</t>
  </si>
  <si>
    <t>Archives of Computational Methods in Engineering</t>
  </si>
  <si>
    <t>10.1007/s11831-025-10348-y</t>
  </si>
  <si>
    <t>Spiking neural networks for radio frequency interference detection in radio astronomy</t>
  </si>
  <si>
    <t>Communications Physics</t>
  </si>
  <si>
    <t>10.1038/s42005-025-02420-7</t>
  </si>
  <si>
    <t>Large language models for PHM: a review of optimization techniques and applications</t>
  </si>
  <si>
    <t>Autonomous Intelligent Systems</t>
  </si>
  <si>
    <t>10.1007/s43684-025-00100-5</t>
  </si>
  <si>
    <t>Real-Time Image Dehazing via a Novel Parallel Architecture: An Empirical Comparison of Hardware Platforms</t>
  </si>
  <si>
    <t>Signal, Image and Video Processing</t>
  </si>
  <si>
    <t>10.1007/s11760-025-04217-1</t>
  </si>
  <si>
    <t>Three-dimensional morphological reconstruction of potato leaf from a single image</t>
  </si>
  <si>
    <t>Journal of King Saud University Computer and Information Sciences</t>
  </si>
  <si>
    <t>10.1007/s44443-025-00244-7</t>
  </si>
  <si>
    <t>Timing guarantees for inference of AI models in embedded systems</t>
  </si>
  <si>
    <t>Real-Time Systems</t>
  </si>
  <si>
    <t>10.1007/s11241-025-09445-9</t>
  </si>
  <si>
    <t>Adaptive Resource Scheduling in Multi-Cloud Computing Using Recurrent Neural Forecasting and Memory-Based Metaheuristic Optimization</t>
  </si>
  <si>
    <t>Journal of Grid Computing</t>
  </si>
  <si>
    <t>10.1007/s10723-025-09812-7</t>
  </si>
  <si>
    <t>Toward secure program execution in multi-tenant cloud FPGA environments</t>
  </si>
  <si>
    <t>10.1007/s11227-025-07340-5</t>
  </si>
  <si>
    <t>Knowledge distillation in federated learning: a comprehensive survey</t>
  </si>
  <si>
    <t>Discover Computing</t>
  </si>
  <si>
    <t>10.1007/s10791-025-09657-4</t>
  </si>
  <si>
    <t>The bottlenecks of AI: challenges for embedded and real-time research in a data-centric age</t>
  </si>
  <si>
    <t>10.1007/s11241-025-09452-w</t>
  </si>
  <si>
    <t>SAPER-AI accelerator: a systolic array-based power-efficient reconfigurable AI accelerator</t>
  </si>
  <si>
    <t>Frontiers of Information Technology &amp; Electronic Engineering</t>
  </si>
  <si>
    <t>10.1631/FITEE.2400867</t>
  </si>
  <si>
    <t>Exploring the Frontiers: A Comprehensive Survey on the Advancements and Prospects of the Spintronics Era</t>
  </si>
  <si>
    <t>10.1007/s11831-025-10446-x</t>
  </si>
  <si>
    <t>Spiking neural networks: a comprehensive review of diverse applications, research progress, challenges and future research directions</t>
  </si>
  <si>
    <t>Evolving Systems</t>
  </si>
  <si>
    <t>10.1007/s12530-025-09755-0</t>
  </si>
  <si>
    <t>BPTCN: a low-latency branch prediction model based on temporal convolutional networks</t>
  </si>
  <si>
    <t>10.1007/s11227-025-07490-6</t>
  </si>
  <si>
    <t>Deepfake Detection Utilizing Enhanced Silicon-Based Physically Unclonable Functions Integrated with Photonic Crystal Fiber Sensor</t>
  </si>
  <si>
    <t>Silicon</t>
  </si>
  <si>
    <t>10.1007/s12633-025-03377-6</t>
  </si>
  <si>
    <t>Optimizing resource allocation in precision farming using quantum enhanced algorithms and quantum sensor networks</t>
  </si>
  <si>
    <t>Journal of Cloud Computing</t>
  </si>
  <si>
    <t>10.1186/s13677-025-00769-2</t>
  </si>
  <si>
    <t>A novel three-level smart helmet design for digital value metric assessment in two wheelers on Indian roads</t>
  </si>
  <si>
    <t>International Journal of Information Technology</t>
  </si>
  <si>
    <t>10.1007/s41870-024-02374-z</t>
  </si>
  <si>
    <t>Attar: RRAM-based in-memory attention accelerator with software-hardware co-optimization</t>
  </si>
  <si>
    <t>10.1007/s11432-024-4247-4</t>
  </si>
  <si>
    <t>Application of spiking neural networks and traditional artificial neural networks for solar radiation forecasting in photovoltaic systems in Arab countries</t>
  </si>
  <si>
    <t>10.1007/s00521-025-11066-z</t>
  </si>
  <si>
    <t>Ubiquitous memory augmentation via mobile multimodal embedding system</t>
  </si>
  <si>
    <t>Nature Communications</t>
  </si>
  <si>
    <t>10.1038/s41467-025-60802-5</t>
  </si>
  <si>
    <t>Efficient real-time multi-object tracking algorithm for complex scenarios</t>
  </si>
  <si>
    <t>10.1007/s11760-025-04748-7</t>
  </si>
  <si>
    <t>Minimizing transformer inference overhead using controlling element on Shenwei AI accelerator</t>
  </si>
  <si>
    <t>10.1631/FITEE.2400453</t>
  </si>
  <si>
    <t>AI-guided framework for the design of materials and devices for magnetic-tunnel-junction-based true random number generators</t>
  </si>
  <si>
    <t>Communications Engineering</t>
  </si>
  <si>
    <t>10.1038/s44172-025-00376-8</t>
  </si>
  <si>
    <t>FPGA implementation of double-head SalsaNext: a CNN-based model for LiDAR point cloud segmentation</t>
  </si>
  <si>
    <t>Journal of Real-Time Image Processing</t>
  </si>
  <si>
    <t>10.1007/s11554-025-01643-9</t>
  </si>
  <si>
    <t>SPCNet: an Intelligent Field-Based Soybean Seed Counting Algorithm for Salinity Stress Response Evaluation</t>
  </si>
  <si>
    <t>Journal of Crop Health</t>
  </si>
  <si>
    <t>10.1007/s10343-025-01215-8</t>
  </si>
  <si>
    <t>Construction of multi-scroll memristive neural networks and their FPGA implementation for video encryption</t>
  </si>
  <si>
    <t>The European Physical Journal Plus</t>
  </si>
  <si>
    <t>10.1140/epjp/s13360-025-06663-9</t>
  </si>
  <si>
    <t>Random resistive memory-based deep extreme point learning machine for unified visual processing</t>
  </si>
  <si>
    <t>10.1038/s41467-025-56079-3</t>
  </si>
  <si>
    <t>A RISC-V 32-bit microprocessor based on two-dimensional semiconductors</t>
  </si>
  <si>
    <t>Nature</t>
  </si>
  <si>
    <t>10.1038/s41586-025-08759-9</t>
  </si>
  <si>
    <t>Design of Double Precision Floating Point Comparator for Multiple Numbers</t>
  </si>
  <si>
    <t>Power Engineering and Intelligent Systems</t>
  </si>
  <si>
    <t>10.1007/978-981-97-6710-6_10</t>
  </si>
  <si>
    <t>A Case Study on Formal Equivalence Verification Between a C/C++ Model and Its RTL Design</t>
  </si>
  <si>
    <t>Formal Methods</t>
  </si>
  <si>
    <t>10.1007/978-3-031-71177-0_23</t>
  </si>
  <si>
    <t>The characterization of damages and their severity in milled rice by applying unsupervised learning to a high-magnification image dataset</t>
  </si>
  <si>
    <t>10.1007/s11694-025-03520-2</t>
  </si>
  <si>
    <t>Millimeter-wave radar-enabled multi-user beamforming optimization for reconfigurable intelligent surfaces</t>
  </si>
  <si>
    <t>10.1007/s11760-025-04428-6</t>
  </si>
  <si>
    <t>Probabilistic photonic computing for AI</t>
  </si>
  <si>
    <t>Nature Computational Science</t>
  </si>
  <si>
    <t>10.1038/s43588-025-00800-1</t>
  </si>
  <si>
    <t>3D NoC-enabled spiking neural networks: a high-performance computing paradigm</t>
  </si>
  <si>
    <t>10.1007/s12530-025-09721-w</t>
  </si>
  <si>
    <t>Sensor enabled internet of things based evaluations on novel pioneering trustworthy accord system</t>
  </si>
  <si>
    <t>Cluster Computing</t>
  </si>
  <si>
    <t>10.1007/s10586-025-05362-5</t>
  </si>
  <si>
    <t>A comprehensive review and classification of micro-scale and macro-scale interconnection network simulators for research and education in network-based computing systems</t>
  </si>
  <si>
    <t>10.1007/s11227-025-08038-4</t>
  </si>
  <si>
    <t>Special Session: Machine Learning for Embedded System Design</t>
  </si>
  <si>
    <t>Proceedings of the 2023 International Conference on Hardware/Software Codesign and System Synthesis</t>
  </si>
  <si>
    <t>10.1145/3607888.3608962</t>
  </si>
  <si>
    <t>Software Optimization and Design Methodology for Low Power Computer Vision Systems</t>
  </si>
  <si>
    <t>10.1145/3687310</t>
  </si>
  <si>
    <t>Data-driven HLS optimization for reconfigurable accelerators</t>
  </si>
  <si>
    <t>Proceedings of the 61st ACM/IEEE Design Automation Conference</t>
  </si>
  <si>
    <t>10.1145/3649329.3658471</t>
  </si>
  <si>
    <t>A Physical and Timing Aware Placement Optimization Framework Based on Graph Neural Network,</t>
  </si>
  <si>
    <t>2024 ACM/IEEE International Conference On Computer Aided Design (ICCAD)</t>
  </si>
  <si>
    <t>10.1145/3676536.3676772</t>
  </si>
  <si>
    <t>Explainable-DSE: An Agile and Explainable Exploration of Efficient HW/SW Codesigns of Deep Learning Accelerators Using Bottleneck Analysis</t>
  </si>
  <si>
    <t>Proceedings of the 28th ACM International Conference on Architectural Support for Programming Languages and Operating Systems, Volume 4</t>
  </si>
  <si>
    <t>10.1145/3623278.3624772</t>
  </si>
  <si>
    <t>Green AI Quotient : Assessing Greenness of AI-Based Software and the Way Forward</t>
  </si>
  <si>
    <t>Proceedings of the 38th IEEE/ACM International Conference on Automated Software Engineering</t>
  </si>
  <si>
    <t>10.1109/ASE56229.2023.00115</t>
  </si>
  <si>
    <t>LightRidge: An End-to-end Agile Design Framework for Diffractive Optical Neural Networks</t>
  </si>
  <si>
    <t>10.1145/3623278.3624757</t>
  </si>
  <si>
    <t>Special Session: Challenges and Opportunities for Sustainable Multi-Scale Computing Systems</t>
  </si>
  <si>
    <t>10.1145/3607888.3608961</t>
  </si>
  <si>
    <t>Security for Machine Learning-based Software Systems: A Survey of Threats, Practices, and Challenges</t>
  </si>
  <si>
    <t>10.1145/3638531</t>
  </si>
  <si>
    <t>Fast Loosely-Timed Deep Neural Network Models with Accurate Memory Contention</t>
  </si>
  <si>
    <t>10.1145/3607548</t>
  </si>
  <si>
    <t>HLS-IRT: Hardware Trojan Insertion through Modification of Intermediate Representation During High-Level Synthesis</t>
  </si>
  <si>
    <t>10.1145/3663477</t>
  </si>
  <si>
    <t>Physical Design Challenges in Modern Heterogeneous Integration</t>
  </si>
  <si>
    <t>10.1145/3626184.3639690</t>
  </si>
  <si>
    <t>Translating Test Responses to Images for Test-termination Prediction via Multiple Machine Learning Strategies</t>
  </si>
  <si>
    <t>10.1145/3661310</t>
  </si>
  <si>
    <t>DeepFlow: A Cross-Stack Pathfinding Framework for Distributed AI Systems</t>
  </si>
  <si>
    <t>10.1145/3635867</t>
  </si>
  <si>
    <t>Resource-Aware Saliency-Guided Differentiable Pruning for Deep Neural Networks</t>
  </si>
  <si>
    <t>Proceedings of the Great Lakes Symposium on VLSI 2024</t>
  </si>
  <si>
    <t>10.1145/3649476.3658699</t>
  </si>
  <si>
    <t>An FPGA-Enabled Framework for Rapid Automated Design of Photonic Integrated Circuits</t>
  </si>
  <si>
    <t>Proceedings of the 2024 ACM/SIGDA International Symposium on Field Programmable Gate Arrays</t>
  </si>
  <si>
    <t>10.1145/3626202.3637565</t>
  </si>
  <si>
    <t>Educational Tool-spaces for Convolutional Neural Network FPGA Design Space Exploration Using High-Level Synthesis</t>
  </si>
  <si>
    <t>10.1145/3649476.3658786</t>
  </si>
  <si>
    <t>Programmable Analog System Benchmarks Leading to Efficient Analog Computation Synthesis</t>
  </si>
  <si>
    <t>10.1145/3625298</t>
  </si>
  <si>
    <t>Introduction to the Panel on EDA Challenges at Advanced Technology Nodes</t>
  </si>
  <si>
    <t>Proceedings of the 2024 International Symposium on Physical Design</t>
  </si>
  <si>
    <t>10.1145/3626184.3639694</t>
  </si>
  <si>
    <t>An Open-Source ML-Based Full-Stack Optimization Framework for Machine Learning Accelerators</t>
  </si>
  <si>
    <t>10.1145/3664652</t>
  </si>
  <si>
    <t>An Optimization-Aware Pre-Routing Timing Prediction Framework Based on Heterogeneous Graph Learning</t>
  </si>
  <si>
    <t>Proceedings of the 29th Asia and South Pacific Design Automation Conference</t>
  </si>
  <si>
    <t>10.1109/ASP-DAC58780.2024.10473937</t>
  </si>
  <si>
    <t>AI-Driven Evaluation and Optimization of Bump Pitch Effects on Chiplet and Interposer Design Quality,</t>
  </si>
  <si>
    <t>10.1145/3676536.3676817</t>
  </si>
  <si>
    <t>Real-time Blood Pressure Prediction on Wearables with Edge-Based DNNs: A Co-Design Approach</t>
  </si>
  <si>
    <t>10.1145/3699512</t>
  </si>
  <si>
    <t>SSR: Spatial Sequential Hybrid Architecture for Latency Throughput Tradeoff in Transformer Acceleration</t>
  </si>
  <si>
    <t>10.1145/3626202.3637569</t>
  </si>
  <si>
    <t>A Review on the emerging technology of TinyML</t>
  </si>
  <si>
    <t>10.1145/3661820</t>
  </si>
  <si>
    <t>Graph-Transformer-based Surrogate Model for Accelerated Converter Circuit Topology Design</t>
  </si>
  <si>
    <t>10.1145/3649329.3656258</t>
  </si>
  <si>
    <t>Performance-Driven Analog Layout Automation: Current Status and Future Directions</t>
  </si>
  <si>
    <t>10.1109/ASP-DAC58780.2024.10473859</t>
  </si>
  <si>
    <t>EDA-schema: A Graph Datamodel Schema and Open Dataset for Digital Design Automation</t>
  </si>
  <si>
    <t>10.1145/3649476.3658718</t>
  </si>
  <si>
    <t>Panel Statement: EDA Needs at Advanced Technology Nodes</t>
  </si>
  <si>
    <t>10.1145/3626184.3639696</t>
  </si>
  <si>
    <t>CircuitVAE: Efficient and Scalable Latent Circuit Optimization</t>
  </si>
  <si>
    <t>10.1145/3649329.3656543</t>
  </si>
  <si>
    <t>ChatCPU: An Agile CPU Design and Verification Platform with LLM</t>
  </si>
  <si>
    <t>10.1145/3649329.3658493</t>
  </si>
  <si>
    <t>FPGA-Based Sparse Matrix Multiplication Accelerators: From State-of-the-Art to Future Opportunities</t>
  </si>
  <si>
    <t>10.1145/3687480</t>
  </si>
  <si>
    <t>GPU/ML-Enhanced Large Scale Global Routing Contest</t>
  </si>
  <si>
    <t>10.1145/3626184.3639693</t>
  </si>
  <si>
    <t>Extending Neural Processing Unit and Compiler for Advanced Binarized Neural Networks</t>
  </si>
  <si>
    <t>10.1109/ASP-DAC58780.2024.10473822</t>
  </si>
  <si>
    <t>Synthesis of Resource-Efficient Superconducting Circuits with Clock-Free Alternating Logic</t>
  </si>
  <si>
    <t>10.1145/3649329.3657376</t>
  </si>
  <si>
    <t>An Overview of FPGA-inspired Obfuscation Techniques</t>
  </si>
  <si>
    <t>10.1145/3677118</t>
  </si>
  <si>
    <t>MapTune: Advancing ASIC Technology Mapping via Reinforcement Learning Guided Library Tuning,</t>
  </si>
  <si>
    <t>10.1145/3676536.3676762</t>
  </si>
  <si>
    <t>Advanced gate-level glitch modeling using ANNs</t>
  </si>
  <si>
    <t>10.1145/3649329.3657351</t>
  </si>
  <si>
    <t>An Efficient Reinforcement Learning Based Framework for Exploring Logic Synthesis</t>
  </si>
  <si>
    <t>10.1145/3632174</t>
  </si>
  <si>
    <t>Introduction to the Special Issue on FPGA-based Embedded Systems for Industrial and IoT Applications</t>
  </si>
  <si>
    <t>10.1145/3698202</t>
  </si>
  <si>
    <t>Event-Driven Sensing and Embedded Neuromorphic Platforms for Gamma Radiation Monitoring</t>
  </si>
  <si>
    <t>10.1145/3649476.3660363</t>
  </si>
  <si>
    <t>KATO: Knowledge Alignment And Transfer for Transistor Sizing Of Different Design and Technology</t>
  </si>
  <si>
    <t>10.1145/3649329.3657380</t>
  </si>
  <si>
    <t>Special Session: Mitigating Side-channel Attacks through Circuit to Application Layer Approaches</t>
  </si>
  <si>
    <t>10.1145/3607888.3608963</t>
  </si>
  <si>
    <t>PPGNN: Fast and Accurate Privacy-Preserving Graph Neural Network Inference via Parallel and Pipelined Arithmetic-and-Logic FHE Accelerator</t>
  </si>
  <si>
    <t>10.1145/3649329.3656517</t>
  </si>
  <si>
    <t>Reinforcing the Connection between Analog Design and EDA</t>
  </si>
  <si>
    <t>10.1109/ASP-DAC58780.2024.10473957</t>
  </si>
  <si>
    <t>GCS-Timer: GPU-Accelerated Current Source Model Based Static Timing Analysis</t>
  </si>
  <si>
    <t>10.1145/3649329.3655983</t>
  </si>
  <si>
    <t>Revisiting Automatic Pipelining: Gate-level Forwarding and Speculation</t>
  </si>
  <si>
    <t>10.1145/3649329.3657352</t>
  </si>
  <si>
    <t>iPD: An Open-Source Intelligent Physical Design Toolchain</t>
  </si>
  <si>
    <t>10.1109/asp-dac58780.2024.10473932</t>
  </si>
  <si>
    <t>Towards Synthetic Trace Generation of Modeling Operations using In-Context Learning Approach</t>
  </si>
  <si>
    <t>Proceedings of the 39th IEEE/ACM International Conference on Automated Software Engineering</t>
  </si>
  <si>
    <t>10.1145/3691620.3695058</t>
  </si>
  <si>
    <t>Data is all you need: Finetuning LLMs for Chip Design via an Automated design-data augmentation framework</t>
  </si>
  <si>
    <t>10.1145/3649329.3657356</t>
  </si>
  <si>
    <t>SparGD: A Sparse GEMM Accelerator with Dynamic Dataflow</t>
  </si>
  <si>
    <t>10.1145/3634703</t>
  </si>
  <si>
    <t>Rethinking the Switch Architecture for Stateful In-network Computing</t>
  </si>
  <si>
    <t>Proceedings of the 23rd ACM Workshop on Hot Topics in Networks</t>
  </si>
  <si>
    <t>10.1145/3696348.3696897</t>
  </si>
  <si>
    <t>HiSpMV: Hybrid Row Distribution and Vector Buffering for Imbalanced SpMV Acceleration on FPGAs</t>
  </si>
  <si>
    <t>10.1145/3626202.3637557</t>
  </si>
  <si>
    <t>Software/Hardware Co-Design for LLM and Its Application for Design Verification</t>
  </si>
  <si>
    <t>10.1109/ASP-DAC58780.2024.10473893</t>
  </si>
  <si>
    <t>SQL2FPGA: Automated Acceleration of SQL Query Processing on Modern CPU-FPGA Platforms</t>
  </si>
  <si>
    <t>10.1145/3674843</t>
  </si>
  <si>
    <t>Hardware Accelerated Quantized Hand Written Digit Recognition via High Level Synthesis</t>
  </si>
  <si>
    <t>10.1145/3649476.3660369</t>
  </si>
  <si>
    <t>A HW/SW Co-Design of Video Dehazing Accelerator Using Decoupled Local Atmospheric Light Prior</t>
  </si>
  <si>
    <t>10.1145/3649329.3656512</t>
  </si>
  <si>
    <t>GAN-Place: Advancing Open Source Placers to Commercial-quality Using Generative Adversarial Networks and Transfer Learning</t>
  </si>
  <si>
    <t>10.1145/3636461</t>
  </si>
  <si>
    <t>Toward FPGA Intellectual Property Encryption from Netlist to Bitstream</t>
  </si>
  <si>
    <t>10.1145/3656644</t>
  </si>
  <si>
    <t>MSMAC: Accelerating Multi-Scalar Multiplication for Zero-Knowledge Proof</t>
  </si>
  <si>
    <t>10.1145/3649329.3655672</t>
  </si>
  <si>
    <t>Joey: Supporting Kangaroo Mother Care with Computational Fabrics</t>
  </si>
  <si>
    <t>Proceedings of the 22nd Annual International Conference on Mobile Systems, Applications and Services</t>
  </si>
  <si>
    <t>10.1145/3643832.3661867</t>
  </si>
  <si>
    <t>Exploring the Feasibility of Remote Cardiac Auscultation Using Earphones</t>
  </si>
  <si>
    <t>Proceedings of the 30th Annual International Conference on Mobile Computing and Networking</t>
  </si>
  <si>
    <t>10.1145/3636534.3649366</t>
  </si>
  <si>
    <t>Confidential Container Groups: Implementing confidential computing on Azure container instances</t>
  </si>
  <si>
    <t>Queue</t>
  </si>
  <si>
    <t>10.1145/3664293</t>
  </si>
  <si>
    <t>PRIMATE: Processing in Memory Acceleration for Dynamic Token-Pruning Transformers</t>
  </si>
  <si>
    <t>10.1109/ASP-DAC58780.2024.10473968</t>
  </si>
  <si>
    <t>AXI4MLIR: User-Driven Automatic Host Code Generation for Custom AXI-Based Accelerators</t>
  </si>
  <si>
    <t>Proceedings of the 2024 IEEE/ACM International Symposium on Code Generation and Optimization</t>
  </si>
  <si>
    <t>10.1109/CGO57630.2024.10444801</t>
  </si>
  <si>
    <t>IMI: In-memory Multi-job Inference Acceleration for Large Language Models</t>
  </si>
  <si>
    <t>Proceedings of the 53rd International Conference on Parallel Processing</t>
  </si>
  <si>
    <t>10.1145/3673038.3673053</t>
  </si>
  <si>
    <t>FlightLLM: Efficient Large Language Model Inference with a Complete Mapping Flow on FPGAs</t>
  </si>
  <si>
    <t>10.1145/3626202.3637562</t>
  </si>
  <si>
    <t>Scheduling for Cyber-Physical Systems with Heterogeneous Processing Units under Real-World Constraints</t>
  </si>
  <si>
    <t>Proceedings of the 38th ACM International Conference on Supercomputing</t>
  </si>
  <si>
    <t>10.1145/3650200.3656625</t>
  </si>
  <si>
    <t>HIR: An MLIR-based Intermediate Representation for Hardware Accelerator Description</t>
  </si>
  <si>
    <t>International Conference on Architectural Support for Programming Languages and Operating Systems - ASPLOS</t>
  </si>
  <si>
    <t>10.1145/3623278.3624767</t>
  </si>
  <si>
    <t>T3: Transparent Tracking &amp;amp; Triggering for Fine-grained Overlap of Compute &amp;amp; Collectives</t>
  </si>
  <si>
    <t>Proceedings of the 29th ACM International Conference on Architectural Support for Programming Languages and Operating Systems, Volume 2</t>
  </si>
  <si>
    <t>10.1145/3620665.3640410</t>
  </si>
  <si>
    <t>PIM-DL: Boosting DNN Inference on Digital Processing In-Memory Architectures via Data Layout Optimizations</t>
  </si>
  <si>
    <t>Proceedings of the 30th International Conference on Parallel Architectures and Compilation Techniques</t>
  </si>
  <si>
    <t>10.1109/PACT52795.2021.00021</t>
  </si>
  <si>
    <t>A+</t>
  </si>
  <si>
    <t>Polygeist: Raising C to Polyhedral MLIR</t>
  </si>
  <si>
    <t>10.1109/PACT52795.2021.00011</t>
  </si>
  <si>
    <t>MLSysBook.AI: Principles and Practices of Machine Learning Systems Engineering,</t>
  </si>
  <si>
    <t>2024 International Conference on Hardware/Software Codesign and System Synthesis (CODES+ISSS)</t>
  </si>
  <si>
    <t>10.1109/CODES-ISSS60120.2024.00015</t>
  </si>
  <si>
    <t>Scan Design Using Unsupervised Machine Learning to Reduce Functional Timing and Area Impact,</t>
  </si>
  <si>
    <t>2024 IEEE European Test Symposium (ETS)</t>
  </si>
  <si>
    <t>10.1109/ETS61313.2024.10567936</t>
  </si>
  <si>
    <t>ChatEDA: A Large Language Model Powered Autonomous Agent for EDA</t>
  </si>
  <si>
    <t>10.1109/TCAD.2024.3383347</t>
  </si>
  <si>
    <t>Machine Learning-based feasibility estimation of digital blocks in BCD technology,</t>
  </si>
  <si>
    <t>2024 IEEE International Conference on Design</t>
  </si>
  <si>
    <t>10.1109/DTTIS62212.2024.10780062</t>
  </si>
  <si>
    <t>Fast ML-driven Analog Circuit Layout using Reinforcement Learning and Steiner Trees,</t>
  </si>
  <si>
    <t>2024 20th International Conference on Synthesis</t>
  </si>
  <si>
    <t>10.1109/SMACD61181.2024.10745442</t>
  </si>
  <si>
    <t>EDA-ML: Graph Representation Learning Framework for Digital IC Design Automation,</t>
  </si>
  <si>
    <t>2024 25th International Symposium on Quality Electronic Design (ISQED)</t>
  </si>
  <si>
    <t>10.1109/ISQED60706.2024.10528675</t>
  </si>
  <si>
    <t>Toward Early Stage Dynamic Power Estimation: Exploring Alternative Machine Learning Methods and Simulation Schemes,</t>
  </si>
  <si>
    <t>10.1109/ISQED60706.2024.10528771</t>
  </si>
  <si>
    <t>A Novel TriNet Architecture for Enhanced Analog IC Design Automation,</t>
  </si>
  <si>
    <t>10.1109/TVLSI.2024.3452032</t>
  </si>
  <si>
    <t>Integrating Neural Network Models for Advanced Automation in Analog Amplifier Circuit Design,</t>
  </si>
  <si>
    <t>2024 IEEE International Conference on Electronics</t>
  </si>
  <si>
    <t>10.1109/CONECCT62155.2024.10677072</t>
  </si>
  <si>
    <t>SpeechCraft: An Integrated Data Generation Pipeline from Videos for LLM Finetuning,</t>
  </si>
  <si>
    <t>2024 29th International Conference on Automation and Computing (ICAC)</t>
  </si>
  <si>
    <t>10.1109/ICAC61394.2024.10718747</t>
  </si>
  <si>
    <t>BOXGB: Design Parameter Optimization with Systematic Integration of Bayesian Optimization and XGBoost,</t>
  </si>
  <si>
    <t>2024 Design</t>
  </si>
  <si>
    <t>10.23919/DATE58400.2024.10546732</t>
  </si>
  <si>
    <t>An Open-Source AMS Circuit Optimization Framework Based on Reinforcement LearningÃ¢Â€Â”From Specifications to Layouts</t>
  </si>
  <si>
    <t>10.1109/ACCESS.2024.3478832</t>
  </si>
  <si>
    <t>Providing a Flexible and Comprehensive Software Stack Via Spack, an Extreme-Scale Scientific Software Stack, and Software Development Kits,</t>
  </si>
  <si>
    <t>Computing in Science &amp; Engineering</t>
  </si>
  <si>
    <t>10.1109/MCSE.2024.3395016</t>
  </si>
  <si>
    <t>Predictive AI for the 3D-IC Design Process Reduces the Iteration,</t>
  </si>
  <si>
    <t>2024 International VLSI Symposium on Technology</t>
  </si>
  <si>
    <t>10.1109/VLSITSA60681.2024.10546344</t>
  </si>
  <si>
    <t>A Low-Cost Floating-Point Dot-Product-Dual-Accumulate Architecture for HPC-Enabled AI,</t>
  </si>
  <si>
    <t>10.1109/TCAD.2023.3316994</t>
  </si>
  <si>
    <t>3D-IC In-Design Thermal Analysis and Optimization,</t>
  </si>
  <si>
    <t>2024 23rd IEEE Intersociety Conference on Thermal and Thermomechanical Phenomena in Electronic Systems (ITherm)</t>
  </si>
  <si>
    <t>10.1109/ITherm55375.2024.10709572</t>
  </si>
  <si>
    <t>A Soft-Hard Collaborative CNN Inference Acceleration System Based on NP Cores of DPU</t>
  </si>
  <si>
    <t>Proceedings - 2024 IEEE International Conference on Embedded Software and Systems, ICESS 2024</t>
  </si>
  <si>
    <t>10.1109/ICESS64277.2024.00012</t>
  </si>
  <si>
    <t>Real-Time Multi-Learning Deep Neural Network on an MPSoC-FPGA for Intelligent Vehicles: Harnessing Hardware Acceleration With Pipeline</t>
  </si>
  <si>
    <t>IEEE Transactions on Intelligent Vehicles</t>
  </si>
  <si>
    <t>10.1109/TIV.2024.3398215</t>
  </si>
  <si>
    <t>Parmesan: Efficient Partitioning and Mapping Flow for DNN Training on General Device Topology,</t>
  </si>
  <si>
    <t>10.1109/TCAD.2024.3368970</t>
  </si>
  <si>
    <t>Cascade: An Application Pipelining Toolkit for Coarse-Grained Reconfigurable Arrays,</t>
  </si>
  <si>
    <t>10.1109/TCAD.2024.3390542</t>
  </si>
  <si>
    <t>PipePIM: Maximizing Computing Unit Utilization in ML-Oriented Digital PIM by Pipelining and Dual Buffering,</t>
  </si>
  <si>
    <t>10.1109/TCAD.2024.3410842</t>
  </si>
  <si>
    <t>Hybrid Graph Representation and Learning Framework for High-Level Synthesis Design Space Exploration</t>
  </si>
  <si>
    <t>10.1109/ACCESS.2024.3509606</t>
  </si>
  <si>
    <t>Weave: Abstraction and Integration Flow for Accelerators of Generated Modules,</t>
  </si>
  <si>
    <t>10.1109/TCAD.2023.3325972</t>
  </si>
  <si>
    <t>An End-to-End In-Memory Computing System Based on a 40-nm eFlash-Based IMC SoC: Circuits, Toolchains, and Systems Co-Design Framework,</t>
  </si>
  <si>
    <t>10.1109/TCAD.2024.3349502</t>
  </si>
  <si>
    <t>A Graph Attention Network Based System for Robust Analog CircuitsÃ¢Â€Â™ Structure Recognition Involving a Novel Data Augmentation Technique,</t>
  </si>
  <si>
    <t>10.1109/ACCESS.2024.3367598</t>
  </si>
  <si>
    <t>TPE-Det: A Tamper-Proof External Detector via Hardware Traces Analysis Against IoT Malware,</t>
  </si>
  <si>
    <t>10.1109/TCAD.2024.3444712</t>
  </si>
  <si>
    <t>Efficient Pipelining of Synchronous Dataflow Graphs Via Graph Conversion,</t>
  </si>
  <si>
    <t>10.1109/TCAD.2024.3355190</t>
  </si>
  <si>
    <t>A High-Level Synthesis Library for Synthesizing Efficient and Functional-Safe CNN Dataflow Accelerators,</t>
  </si>
  <si>
    <t>10.1109/ACCESS.2024.3390422</t>
  </si>
  <si>
    <t>FeCBF: A Novel Sub-Optimal Cascaded Bloom Filter Structure Based on Feature Extraction,</t>
  </si>
  <si>
    <t>10.1109/ACCESS.2024.3399062</t>
  </si>
  <si>
    <t>An Efficient GCNs Accelerator Using 3D-Stacked Processing-in-Memory Architectures,</t>
  </si>
  <si>
    <t>10.1109/TCAD.2023.3341753</t>
  </si>
  <si>
    <t>Modeling Cycle-to-Cycle Variation in Memristors for In-Situ Unsupervised Trace-STDP Learning,</t>
  </si>
  <si>
    <t>IEEE Transactions on Circuits and Systems II: Express Briefs</t>
  </si>
  <si>
    <t>10.1109/TCSII.2023.3309329</t>
  </si>
  <si>
    <t>Digital Electronic System-on-Chip Design: Methodologies, Tools, Evolution, and Trends</t>
  </si>
  <si>
    <t>Micromachines</t>
  </si>
  <si>
    <t>10.3390/mi15020247</t>
  </si>
  <si>
    <t>An Efficient Hybrid Deep Learning Accelerator for Compact and Heterogeneous CNNs</t>
  </si>
  <si>
    <t>ACM Transactions on Architecture and Code Optimization</t>
  </si>
  <si>
    <t>10.1145/3639823</t>
  </si>
  <si>
    <t>Design and implementation of deep learning-based object detection and tracking system</t>
  </si>
  <si>
    <t>10.1016/j.vlsi.2024.102240</t>
  </si>
  <si>
    <t>End-to-end codesign of Hessian-aware quantized neural networks for FPGAs</t>
  </si>
  <si>
    <t>ACM Transactions on Reconfigurable Technology and Systems</t>
  </si>
  <si>
    <t>10.1145/3662000</t>
  </si>
  <si>
    <t>Closing the Gap Between Electrical and Physical Design Steps with an Analog IC Placement Optimizer Enhanced with Machine-Learning-Based Post-Layout Performance Regressors</t>
  </si>
  <si>
    <t>Electronics (Switzerland)</t>
  </si>
  <si>
    <t>10.3390/electronics13224360</t>
  </si>
  <si>
    <t>Achieving Real-time Visual Tracking with Low-Cost Edge AI</t>
  </si>
  <si>
    <t>Proceedings - 15th ACM/IEEE International Conference on Cyber-Physical Systems, ICCPS 2024</t>
  </si>
  <si>
    <t>10.1109/ICCPS61052.2024.00035</t>
  </si>
  <si>
    <t>HardwareÃ¢Â€Â“Software Co-Design of an Audio Feature Extraction Pipeline for Machine Learning Applications</t>
  </si>
  <si>
    <t>10.3390/electronics13050875</t>
  </si>
  <si>
    <t>High Throughput FPGA-Based Object Detection via Algorithm-Hardware Co-Design</t>
  </si>
  <si>
    <t>10.1145/3634919</t>
  </si>
  <si>
    <t>R-Blocks: an Energy-Efficient, Flexible, and Programmable CGRA</t>
  </si>
  <si>
    <t>10.1145/3656642</t>
  </si>
  <si>
    <t>ARM-CO-UP: ARM COoperative Utilization of Processors</t>
  </si>
  <si>
    <t>10.1145/3656472</t>
  </si>
  <si>
    <t>Layout Congestion Prediction Based on Regression-ViT</t>
  </si>
  <si>
    <t>10.1145/3698196</t>
  </si>
  <si>
    <t>The Genomic Computing Revolution: Defining the Next Decades of Accelerating Genomics</t>
  </si>
  <si>
    <t>2024 IEEE High Performance Extreme Computing Conference, HPEC 2024</t>
  </si>
  <si>
    <t>10.1109/HPEC62836.2024.10938492</t>
  </si>
  <si>
    <t>Neural architecture search for in-memory computing-based deep learning accelerators</t>
  </si>
  <si>
    <t>Nature Reviews Electrical Engineering</t>
  </si>
  <si>
    <t>10.1038/s44287-024-00052-7</t>
  </si>
  <si>
    <t>The application of deep learning technology in integrated circuit design</t>
  </si>
  <si>
    <t>Energy Informatics</t>
  </si>
  <si>
    <t>10.1186/s42162-024-00380-w</t>
  </si>
  <si>
    <t>Synergizing quantum techniques with machine learning for advancing drug discovery challenge</t>
  </si>
  <si>
    <t>10.1038/s41598-024-82576-4</t>
  </si>
  <si>
    <t>A Siamese deep learning framework for efficient hardware Trojan detection using power side-channel data</t>
  </si>
  <si>
    <t>10.1038/s41598-024-62744-2</t>
  </si>
  <si>
    <t>TinyEmergencyNet: a hardware-friendly ultra-lightweight deep learning model for aerial scene image classification</t>
  </si>
  <si>
    <t>10.1007/s11554-024-01430-y</t>
  </si>
  <si>
    <t>Large circuit models: opportunities and challenges</t>
  </si>
  <si>
    <t>10.1007/s11432-024-4155-7</t>
  </si>
  <si>
    <t>A comprehensive review of model compression techniques in machine learning</t>
  </si>
  <si>
    <t>Applied Intelligence</t>
  </si>
  <si>
    <t>10.1007/s10489-024-05747-w</t>
  </si>
  <si>
    <t>Machine Learning Techniques for VLSI Circuit Design: A Review</t>
  </si>
  <si>
    <t>Intelligent Systems Design and Applications</t>
  </si>
  <si>
    <t>10.1007/978-3-031-64847-2_17</t>
  </si>
  <si>
    <t>A survey of graph convolutional networks (GCNs) in FPGA-based accelerators</t>
  </si>
  <si>
    <t>10.1186/s40537-024-01022-4</t>
  </si>
  <si>
    <t>A survey of compute nodes with 100 TFLOPS and beyond for supercomputers</t>
  </si>
  <si>
    <t>10.1007/s42514-024-00188-w</t>
  </si>
  <si>
    <t>A lightweight distillation recurrent convolution network on FPGA for real-time video super-resolution</t>
  </si>
  <si>
    <t>Multimedia Systems</t>
  </si>
  <si>
    <t>10.1007/s00530-024-01528-0</t>
  </si>
  <si>
    <t>High-speed and low-power molecular dynamics processing unit (MDPU) with ab initio accuracy</t>
  </si>
  <si>
    <t>npj Computational Materials</t>
  </si>
  <si>
    <t>10.1038/s41524-024-01422-3</t>
  </si>
  <si>
    <t>Post-layout simulation driven analog circuit sizing</t>
  </si>
  <si>
    <t>10.1007/s11432-022-3878-5</t>
  </si>
  <si>
    <t>Automated quantum software engineering</t>
  </si>
  <si>
    <t>Automated Software Engineering</t>
  </si>
  <si>
    <t>10.1007/s10515-024-00436-x</t>
  </si>
  <si>
    <t>Hardware and Software Co-optimization of Convolutional and Self-attention Combined Model Based on FPGA</t>
  </si>
  <si>
    <t>Web and Big Data</t>
  </si>
  <si>
    <t>10.1007/978-981-97-2387-4_22</t>
  </si>
  <si>
    <t>EOG Signal Processor: An SVM-based Multiclass Classifier to Detect Eye Movements</t>
  </si>
  <si>
    <t>10.1007/s11265-024-01936-5</t>
  </si>
  <si>
    <t>Automatic regex synthesis methods for english: a comparative analysis</t>
  </si>
  <si>
    <t>Knowledge and Information Systems</t>
  </si>
  <si>
    <t>10.1007/s10115-024-02232-1</t>
  </si>
  <si>
    <t>An energy-efficient dehazing neural network accelerator based on E&lt;span class="mathjax-tex"&gt;\(^2\)&lt;/span&gt;AOD-Net</t>
  </si>
  <si>
    <t>10.1007/s11554-024-01574-x</t>
  </si>
  <si>
    <t>A Systematic Literature Review on Vulnerabilities, Mitigation Techniques, and Attacks in Field-Programmable Gate Arrays</t>
  </si>
  <si>
    <t>10.1007/s13369-024-09562-w</t>
  </si>
  <si>
    <t>The Development of an Application-Specific Instruction Set Processor Specialized on a Convolutional Neural Network Trained on MNIST</t>
  </si>
  <si>
    <t>Advances in Computational Collective Intelligence</t>
  </si>
  <si>
    <t>10.1007/978-3-031-70248-8_8</t>
  </si>
  <si>
    <t>A comprehensive survey on graph neural network accelerators</t>
  </si>
  <si>
    <t>10.1007/s11704-023-3307-2</t>
  </si>
  <si>
    <t>Graph pooling in graph neural networks: methods and their applications in omics studies</t>
  </si>
  <si>
    <t>10.1007/s10462-024-10918-9</t>
  </si>
  <si>
    <t>Accelerating Deep Neural Network-Based Image Analysis Using Reconfigurable Architecture</t>
  </si>
  <si>
    <t>Proceedings of 4th International Conference on Frontiers in Computing and Systems</t>
  </si>
  <si>
    <t>10.1007/978-981-97-2614-1_42</t>
  </si>
  <si>
    <t>In-memory computing: characteristics, spintronics, and neural network applications insights</t>
  </si>
  <si>
    <t>Multiscale and Multidisciplinary Modeling, Experiments and Design</t>
  </si>
  <si>
    <t>10.1007/s41939-024-00517-0</t>
  </si>
  <si>
    <t>Energy efficiency assessment in advanced driver assistance systems with real-time image processing on custom Xilinx DPUs</t>
  </si>
  <si>
    <t>10.1007/s11554-024-01538-1</t>
  </si>
  <si>
    <t>Adaptive PUF design to authenticate and evaluate heterogeneous IPs in edge computing</t>
  </si>
  <si>
    <t>10.1007/s11227-024-06371-8</t>
  </si>
  <si>
    <t>Review of chiplet-based design: system architecture and interconnection</t>
  </si>
  <si>
    <t>10.1007/s11432-023-3926-8</t>
  </si>
  <si>
    <t>An efficient binary programming method for black-box optimization and its application in processor design</t>
  </si>
  <si>
    <t>10.1007/s11432-023-3963-7</t>
  </si>
  <si>
    <t>Memristor-based hardware accelerators for artificial intelligence</t>
  </si>
  <si>
    <t>10.1038/s44287-024-00037-6</t>
  </si>
  <si>
    <t>A subdural CMOS optical device for bidirectional neural interfacing</t>
  </si>
  <si>
    <t>Nature Electronics</t>
  </si>
  <si>
    <t>10.1038/s41928-024-01209-w</t>
  </si>
  <si>
    <t>On non-von Neumann flexible neuromorphic vision sensors</t>
  </si>
  <si>
    <t>npj Flexible Electronics</t>
  </si>
  <si>
    <t>10.1038/s41528-024-00313-3</t>
  </si>
  <si>
    <t>MiniTomatoNet: a lightweight CNN for tomato leaf disease recognition on heterogeneous FPGA-SoC</t>
  </si>
  <si>
    <t>10.1007/s11227-024-06301-8</t>
  </si>
  <si>
    <t>Hybrid chips to enable a sustainable internet of things technology: opportunities and challenges</t>
  </si>
  <si>
    <t>10.1007/s43939-024-00074-w</t>
  </si>
  <si>
    <t>Two-dimensional materials for future information technology: status and prospects</t>
  </si>
  <si>
    <t>10.1007/s11432-024-4033-8</t>
  </si>
  <si>
    <t>Application of Bionic Technology in Marine Cruise Equipment: Research Progress and Development Trends</t>
  </si>
  <si>
    <t>Journal of Bionic Engineering</t>
  </si>
  <si>
    <t>10.1007/s42235-024-00483-w</t>
  </si>
  <si>
    <t>Systemization of Knowledge: Robust Deep Learning using Hardware-software co-design in Centralized and Federated Settings</t>
  </si>
  <si>
    <t>10.1145/3616868</t>
  </si>
  <si>
    <t>A Survey on FPGA Cybersecurity Design Strategies</t>
  </si>
  <si>
    <t>10.1145/3561515</t>
  </si>
  <si>
    <t>ACM TECS Special Issue on Embedded System Security Tutorials</t>
  </si>
  <si>
    <t>10.1145/3594872</t>
  </si>
  <si>
    <t>TiC-SAT: Tightly-Coupled Systolic Accelerator for Transformers</t>
  </si>
  <si>
    <t>Proceedings of the 28th Asia and South Pacific Design Automation Conference</t>
  </si>
  <si>
    <t>10.1145/3566097.3567867</t>
  </si>
  <si>
    <t>Does SoC Hardware Development Become Agile by Saying So: A Literature Review and Mapping Study</t>
  </si>
  <si>
    <t>ACM Trans. Econ. Comput.</t>
  </si>
  <si>
    <t>10.1145/3578554</t>
  </si>
  <si>
    <t>Hardware Trojan Detection Using Machine Learning: A Tutorial</t>
  </si>
  <si>
    <t>10.1145/3579823</t>
  </si>
  <si>
    <t>Joint Optimization of Sizing and Layout for AMS Designs: Challenges and Opportunities</t>
  </si>
  <si>
    <t>Proceedings of the 2023 International Symposium on Physical Design</t>
  </si>
  <si>
    <t>10.1145/3569052.3578929</t>
  </si>
  <si>
    <t>Design Space Exploration of Layer-Wise Mixed-Precision Quantization with Tightly Integrated Edge Inference Units</t>
  </si>
  <si>
    <t>Proceedings of the Great Lakes Symposium on VLSI 2023</t>
  </si>
  <si>
    <t>10.1145/3583781.3590292</t>
  </si>
  <si>
    <t>Fast, Robust and Transferable Prediction for Hardware Logic Synthesis</t>
  </si>
  <si>
    <t>Proceedings of the 56th Annual IEEE/ACM International Symposium on Microarchitecture</t>
  </si>
  <si>
    <t>10.1145/3613424.3623794</t>
  </si>
  <si>
    <t>Swordfish: A Framework for Evaluating Deep Neural Network-based Basecalling using Computation-In-Memory with Non-Ideal Memristors</t>
  </si>
  <si>
    <t>10.1145/3613424.3614252</t>
  </si>
  <si>
    <t>A Survey and Perspective on Artificial Intelligence for Security-Aware Electronic Design Automation</t>
  </si>
  <si>
    <t>10.1145/3563391</t>
  </si>
  <si>
    <t>A Comprehensive Survey on Electronic Design Automation and Graph Neural Networks: Theory and Applications</t>
  </si>
  <si>
    <t>10.1145/3543853</t>
  </si>
  <si>
    <t>Optimization of AI SoC with Compiler-assisted Virtual Design Platform</t>
  </si>
  <si>
    <t>10.1145/3569052.3578930</t>
  </si>
  <si>
    <t>The Impact of Cascaded Optimizations in CNN Models and End-Device Deployment</t>
  </si>
  <si>
    <t>Proceedings of the 20th ACM Conference on Embedded Networked Sensor Systems</t>
  </si>
  <si>
    <t>10.1145/3560905.3568299</t>
  </si>
  <si>
    <t>Accelerating RTL Simulation with Hardware-Software Co-Design</t>
  </si>
  <si>
    <t>10.1145/3613424.3614257</t>
  </si>
  <si>
    <t>eProcessor: European, Extendable, Energy-Efficient, Extreme-Scale, Extensible, Processor Ecosystem</t>
  </si>
  <si>
    <t>Proceedings of the 20th ACM International Conference on Computing Frontiers</t>
  </si>
  <si>
    <t>10.1145/3587135.3592178</t>
  </si>
  <si>
    <t>DOSA: Differentiable Model-Based One-Loop Search for DNN Accelerators</t>
  </si>
  <si>
    <t>10.1145/3613424.3623797</t>
  </si>
  <si>
    <t>Agile Hardware and Software Co-Design for RISC-V-Based Multi-Precision Deep Learning Microprocessor</t>
  </si>
  <si>
    <t>10.1145/3566097.3567871</t>
  </si>
  <si>
    <t>MP-Rec: Hardware-Software Co-design to Enable Multi-path Recommendation</t>
  </si>
  <si>
    <t>Proceedings of the 28th ACM International Conference on Architectural Support for Programming Languages and Operating Systems, Volume 3</t>
  </si>
  <si>
    <t>10.1145/3582016.3582068</t>
  </si>
  <si>
    <t>Integration of&amp;nbsp;TinyML-based proximity and couch sensing in wearable devices for monitoring infectious disease's social distance compliance</t>
  </si>
  <si>
    <t>Proceedings of the 2023 12th International Conference on Software and Computer Applications</t>
  </si>
  <si>
    <t>10.1145/3587828.3587880</t>
  </si>
  <si>
    <t>CHARM: Composing Heterogeneous AcceleRators for Matrix Multiply on Versal ACAP Architecture</t>
  </si>
  <si>
    <t>Proceedings of the 2023 ACM/SIGDA International Symposium on Field Programmable Gate Arrays</t>
  </si>
  <si>
    <t>10.1145/3543622.3573210</t>
  </si>
  <si>
    <t>Multiterminal Pathfinding in Practical VLSI Systems with Deep Neural Networks</t>
  </si>
  <si>
    <t>10.1145/3564930</t>
  </si>
  <si>
    <t>NTGAT: A Graph Attention Network Accelerator with Runtime Node Tailoring</t>
  </si>
  <si>
    <t>10.1145/3566097.3567869</t>
  </si>
  <si>
    <t>Improving the Robustness and Efficiency of PIM-Based Architecture by SW/HW Co-Design</t>
  </si>
  <si>
    <t>10.1145/3566097.3568358</t>
  </si>
  <si>
    <t>A Case for Open EDA Verticals</t>
  </si>
  <si>
    <t>10.1145/3569052.3578905</t>
  </si>
  <si>
    <t>Towards Fast and Scalable Private Inference</t>
  </si>
  <si>
    <t>10.1145/3587135.3592169</t>
  </si>
  <si>
    <t>A PPA Study of Reinforced Placement Parameter Autotuning: Pseudo-3D vs. True-3D Placers</t>
  </si>
  <si>
    <t>10.1145/3582007</t>
  </si>
  <si>
    <t>A Reconfigurable Architecture for Real-time Event-based Multi-Object Tracking</t>
  </si>
  <si>
    <t>10.1145/3593587</t>
  </si>
  <si>
    <t>SPARTA: Spatial Acceleration for Efficient and Scalable Horizontal Diffusion Weather Stencil Computation</t>
  </si>
  <si>
    <t>Proceedings of the 37th ACM International Conference on Supercomputing</t>
  </si>
  <si>
    <t>10.1145/3577193.3593719</t>
  </si>
  <si>
    <t>DREAM-GAN: Advancing DREAMPlace towards Commercial-Quality using Generative Adversarial Learning</t>
  </si>
  <si>
    <t>10.1145/3569052.3572993</t>
  </si>
  <si>
    <t>Toward Reproducing Network Research Results Using Large Language Models</t>
  </si>
  <si>
    <t>Proceedings of the 22nd ACM Workshop on Hot Topics in Networks</t>
  </si>
  <si>
    <t>10.1145/3626111.3628189</t>
  </si>
  <si>
    <t>Graph Neural Networks: A Powerful and Versatile Tool for Advancing Design, Reliability, and Security of ICs</t>
  </si>
  <si>
    <t>10.1145/3566097.3568345</t>
  </si>
  <si>
    <t>Graph-Learning-Driven Path-Based Timing Analysis Results Predictor from Graph-Based Timing Analysis</t>
  </si>
  <si>
    <t>10.1145/3566097.3567904</t>
  </si>
  <si>
    <t>HardSATGEN: Understanding the Difficulty of Hard SAT Formula Generation and A Strong Structure-Hardness-Aware Baseline</t>
  </si>
  <si>
    <t>Proceedings of the 29th ACM SIGKDD Conference on Knowledge Discovery and Data Mining</t>
  </si>
  <si>
    <t>10.1145/3580305.3599837</t>
  </si>
  <si>
    <t>RoSÃƒÂ‰: A Hardware-Software Co-Simulation Infrastructure Enabling Pre-Silicon Full-Stack Robotics SoC Evaluation</t>
  </si>
  <si>
    <t>Proceedings of the 50th Annual International Symposium on Computer Architecture</t>
  </si>
  <si>
    <t>10.1145/3579371.3589099</t>
  </si>
  <si>
    <t>MTIA: First Generation Silicon Targeting Meta's Recommendation Systems</t>
  </si>
  <si>
    <t>10.1145/3579371.3589348</t>
  </si>
  <si>
    <t>MEDUSA: A Multi-Resolution Machine Learning Congestion Estimation Method for 2D and 3D Global Routing</t>
  </si>
  <si>
    <t>10.1145/3590768</t>
  </si>
  <si>
    <t>Assessment of Reinforcement Learning for Macro Placement</t>
  </si>
  <si>
    <t>10.1145/3569052.3578926</t>
  </si>
  <si>
    <t>UNICO: Unified Hardware Software Co-Optimization for Robust Neural Network Acceleration</t>
  </si>
  <si>
    <t>10.1145/3613424.3614282</t>
  </si>
  <si>
    <t>Architecting Efficient Multi-modal AIoT Systems</t>
  </si>
  <si>
    <t>10.1145/3579371.3589066</t>
  </si>
  <si>
    <t>BASS: Safe Deep Tissue Optical Sensing for Wearable Embedded Systems</t>
  </si>
  <si>
    <t>10.1145/3607916</t>
  </si>
  <si>
    <t>Security Closure of IC Layouts Against Hardware Trojans</t>
  </si>
  <si>
    <t>10.1145/3569052.3571878</t>
  </si>
  <si>
    <t>Exploring Neuromorphic Computing Based on Spiking Neural Networks: Algorithms to Hardware</t>
  </si>
  <si>
    <t>10.1145/3571155</t>
  </si>
  <si>
    <t>Spada: Accelerating Sparse Matrix Multiplication with Adaptive Dataflow</t>
  </si>
  <si>
    <t>Proceedings of the 28th ACM International Conference on Architectural Support for Programming Languages and Operating Systems, Volume 2</t>
  </si>
  <si>
    <t>10.1145/3575693.3575706</t>
  </si>
  <si>
    <t>APEX: A Framework for Automated Processing Element Design Space Exploration using Frequent Subgraph Analysis</t>
  </si>
  <si>
    <t>10.1145/3582016.3582070</t>
  </si>
  <si>
    <t>WFAsic: A High-Performance ASIC Accelerator for DNA Sequence Alignment on a RISC-V SoC</t>
  </si>
  <si>
    <t>Proceedings of the 52nd International Conference on Parallel Processing</t>
  </si>
  <si>
    <t>10.1145/3605573.3605651</t>
  </si>
  <si>
    <t>Rethink before Releasing Your Model: ML Model Extraction Attack in EDA</t>
  </si>
  <si>
    <t>10.1145/3566097.3567896</t>
  </si>
  <si>
    <t>BOOM-Explorer: RISC-V BOOM Microarchitecture Design Space Exploration</t>
  </si>
  <si>
    <t>10.1145/3630013</t>
  </si>
  <si>
    <t>ÃŽÂ´LTA: Decoupling Camera Sampling from Processing to Avoid Redundant Computations in the Vision Pipeline</t>
  </si>
  <si>
    <t>10.1145/3613424.3614261</t>
  </si>
  <si>
    <t>Implementation of Dataflow Software Pipelining for Codelet Model</t>
  </si>
  <si>
    <t>Proceedings of the 2023 ACM/SPEC International Conference on Performance Engineering</t>
  </si>
  <si>
    <t>10.1145/3578244.3583734</t>
  </si>
  <si>
    <t>Sparse Attention Acceleration with Synergistic In-Memory Pruning and On-Chip Recomputation</t>
  </si>
  <si>
    <t>Proceedings of the 55th Annual IEEE/ACM International Symposium on Microarchitecture</t>
  </si>
  <si>
    <t>10.1109/MICRO56248.2022.00059</t>
  </si>
  <si>
    <t>ML to the Rescue: Reliability Estimation from Self-Heating and Aging in Transistors All the Way up Processors</t>
  </si>
  <si>
    <t>10.1145/3566097.3568344</t>
  </si>
  <si>
    <t>System Virtualization for Neural Processing Units</t>
  </si>
  <si>
    <t>Proceedings of the 19th Workshop on Hot Topics in Operating Systems</t>
  </si>
  <si>
    <t>10.1145/3593856.3595912</t>
  </si>
  <si>
    <t>Approximation Opportunities in Edge Computing Hardware: A&amp;nbsp;Systematic Literature Review</t>
  </si>
  <si>
    <t>10.1145/3572772</t>
  </si>
  <si>
    <t>CODEBench: A Neural Architecture and Hardware Accelerator Co-Design Framework</t>
  </si>
  <si>
    <t>10.1145/3575798</t>
  </si>
  <si>
    <t>CNN-based Robust Sound Source Localization with SRP-PHAT for the Extreme Edge</t>
  </si>
  <si>
    <t>10.1145/3586996</t>
  </si>
  <si>
    <t>High-Level Synthesis of Irregular Applications: A Case Study on Influence Maximization</t>
  </si>
  <si>
    <t>10.1145/3587135.3592196</t>
  </si>
  <si>
    <t>MapZero: Mapping for Coarse-grained Reconfigurable Architectures with Reinforcement Learning and Monte-Carlo Tree Search</t>
  </si>
  <si>
    <t>10.1145/3579371.3589081</t>
  </si>
  <si>
    <t>Hardware-accelerated Real-time Drift-awareness for Robust Deep Learning on Wireless RF Data</t>
  </si>
  <si>
    <t>10.1145/3563394</t>
  </si>
  <si>
    <t>Profiling Hyperscale Big Data Processing</t>
  </si>
  <si>
    <t>10.1145/3579371.3589082</t>
  </si>
  <si>
    <t>Accelerating Extra Dimensional Page Walks for Confidential Computing</t>
  </si>
  <si>
    <t>10.1145/3613424.3614293</t>
  </si>
  <si>
    <t>CDPU: Co-designing Compression and Decompression Processing Units for Hyperscale Systems</t>
  </si>
  <si>
    <t>10.1145/3579371.3589074</t>
  </si>
  <si>
    <t>Characterizing Job Microarchitectural Profiles at Scale: Dataset and Analysis</t>
  </si>
  <si>
    <t>Proceedings of the 51st International Conference on Parallel Processing</t>
  </si>
  <si>
    <t>10.1145/3545008.3545026</t>
  </si>
  <si>
    <t>EquityWare: Co-Designing Wearables With And For Low Income Communities In The U.S.</t>
  </si>
  <si>
    <t>Proceedings of the 2023 CHI Conference on Human Factors in Computing Systems</t>
  </si>
  <si>
    <t>10.1145/3544548.3580980</t>
  </si>
  <si>
    <t>Whisper: Profile-Guided Branch Misprediction Elimination for Data Center Applications</t>
  </si>
  <si>
    <t>10.1109/MICRO56248.2022.00017</t>
  </si>
  <si>
    <t>Reconfigurable Distributed FPGA Cluster Design for Deep Learning Accelerators</t>
  </si>
  <si>
    <t>IEEE International Conference on Electro Information Technology</t>
  </si>
  <si>
    <t>10.1109/eIT57321.2023.10187228</t>
  </si>
  <si>
    <t>Machine Learning-Based Predictive Modeling for Designing Transmon Superconducting Qubits,</t>
  </si>
  <si>
    <t>2023 IEEE International Conference on Quantum Computing and Engineering (QCE)</t>
  </si>
  <si>
    <t>10.1109/QCE57702.2023.00154</t>
  </si>
  <si>
    <t>CircuitNet: An Open-Source Dataset for Machine Learning in VLSI CAD Applications With Improved Domain-Specific Evaluation Metric and Learning Strategies,</t>
  </si>
  <si>
    <t>10.1109/TCAD.2023.3287970</t>
  </si>
  <si>
    <t>The Dark Side: Security and Reliability Concerns in Machine Learning for EDA,</t>
  </si>
  <si>
    <t>10.1109/TCAD.2022.3199172</t>
  </si>
  <si>
    <t>Security and Reliability Challenges in Machine Learning for EDA: Latest Advances</t>
  </si>
  <si>
    <t>Proceedings - International Symposium on Quality Electronic Design, ISQED</t>
  </si>
  <si>
    <t>10.1109/ISQED57927.2023.10129359</t>
  </si>
  <si>
    <t>Application of Machine Learning in FPGA EDA Tool Development</t>
  </si>
  <si>
    <t>10.1109/ACCESS.2023.3322358</t>
  </si>
  <si>
    <t>Invited Paper: Accelerating Routability and Timing Optimization with Open-Source AI4EDA Dataset CircuitNet and Heterogeneous Platforms,</t>
  </si>
  <si>
    <t>2023 IEEE/ACM International Conference on Computer Aided Design (ICCAD)</t>
  </si>
  <si>
    <t>10.1109/ICCAD57390.2023.10323938</t>
  </si>
  <si>
    <t>FlowTune: End-to-End Automatic Logic Optimization Exploration via Domain-Specific Multiarmed Bandit</t>
  </si>
  <si>
    <t>10.1109/TCAD.2022.3213611</t>
  </si>
  <si>
    <t>CFU Playground: Full-Stack Open-Source Framework for Tiny Machine Learning (TinyML) Acceleration on FPGAs</t>
  </si>
  <si>
    <t>Proceedings - 2023 IEEE International Symposium on Performance Analysis of Systems and Software, ISPASS 2023</t>
  </si>
  <si>
    <t>10.1109/ISPASS57527.2023.00024</t>
  </si>
  <si>
    <t>Construction of Realistic Place-and-Route Benchmarks for Machine Learning Applications,</t>
  </si>
  <si>
    <t>10.1109/TCAD.2022.3209530</t>
  </si>
  <si>
    <t>Aging-Aware Critical Path Selection via Graph Attention Networks,</t>
  </si>
  <si>
    <t>10.1109/TCAD.2023.3276944</t>
  </si>
  <si>
    <t>Graph Representation Learning for Parasitic Impedance Prediction of the Interconnect,</t>
  </si>
  <si>
    <t>2023 IEEE International Symposium on Circuits and Systems (ISCAS)</t>
  </si>
  <si>
    <t>10.1109/ISCAS46773.2023.10181447</t>
  </si>
  <si>
    <t>Ferroelectric Ternary Content Addressable Memories for Energy-Efficient Associative Search,</t>
  </si>
  <si>
    <t>10.1109/TCAD.2022.3197694</t>
  </si>
  <si>
    <t>Defense Against On-Chip Trojans Enabling Traffic Analysis Attacks Based on Machine Learning and Data Augmentation,</t>
  </si>
  <si>
    <t>10.1109/TCAD.2023.3278618</t>
  </si>
  <si>
    <t>Fast and Accurate NoC Latency Estimation for Application-Specific Traffics via Machine Learning,</t>
  </si>
  <si>
    <t>10.1109/TCSII.2023.3258700</t>
  </si>
  <si>
    <t>Delay-Driven Physically-Aware Logic Synthesis with Informed Search,</t>
  </si>
  <si>
    <t>2023 IEEE 41st International Conference on Computer Design (ICCD)</t>
  </si>
  <si>
    <t>10.1109/ICCD58817.2023.00057</t>
  </si>
  <si>
    <t>Invited Paper: The Inevitability of AI Infusion Into Design Closure and Signoff,</t>
  </si>
  <si>
    <t>10.1109/ICCAD57390.2023.10323684</t>
  </si>
  <si>
    <t>Designing Self-timed Asynchronous Circuits with Chisel,</t>
  </si>
  <si>
    <t>2023 28th IEEE International Symposium on Asynchronous Circuits and Systems (ASYNC)</t>
  </si>
  <si>
    <t>10.1109/ASYNC58294.2023.10239616</t>
  </si>
  <si>
    <t>MasterRTL: A Pre-Synthesis PPA Estimation Framework for Any RTL Design,</t>
  </si>
  <si>
    <t>10.1109/ICCAD57390.2023.10323951</t>
  </si>
  <si>
    <t>Fast and Inexpensive High-Level Synthesis Design Space Exploration: Machine Learning to the Rescue,</t>
  </si>
  <si>
    <t>10.1109/TCAD.2023.3258341</t>
  </si>
  <si>
    <t>Learning Malicious Circuits in FPGA Bitstreams,</t>
  </si>
  <si>
    <t>10.1109/TCAD.2022.3190771</t>
  </si>
  <si>
    <t>HL-Pow: Learning-Assisted Pre-RTL Power Modeling and Optimization for FPGA HLS,</t>
  </si>
  <si>
    <t>10.1109/TCAD.2023.3246387</t>
  </si>
  <si>
    <t>Testudo: Collaborative Intelligence for Latency-Critical Autonomous Systems,</t>
  </si>
  <si>
    <t>10.1109/TCAD.2022.3211480</t>
  </si>
  <si>
    <t>DRDebug: Automated Design Rule Debugging,</t>
  </si>
  <si>
    <t>10.1109/TCAD.2022.3174722</t>
  </si>
  <si>
    <t>FeFET-Based In-Memory Hyperdimensional Encoding Design,</t>
  </si>
  <si>
    <t>10.1109/TCAD.2023.3253766</t>
  </si>
  <si>
    <t>Deep-learning cell-delay modeling for static timing analysis</t>
  </si>
  <si>
    <t>Ain Shams Engineering Journal</t>
  </si>
  <si>
    <t>10.1016/j.asej.2022.101828</t>
  </si>
  <si>
    <t>IMPRoVED: Integrated Method to Predict PostRouting setup Violations in Early Design Stages</t>
  </si>
  <si>
    <t>10.1145/3572546</t>
  </si>
  <si>
    <t>Hardware-software co-design of an open-source automatic multimodal whole slide histopathology imaging system</t>
  </si>
  <si>
    <t>Journal of Biomedical Optics</t>
  </si>
  <si>
    <t>10.1117/1.JBO.28.2.026501</t>
  </si>
  <si>
    <t>NoC-based hardware software co-design framework for dataflow thread management</t>
  </si>
  <si>
    <t>10.1007/s11227-023-05335-8</t>
  </si>
  <si>
    <t>Machine learning-based test selection for simulation-based testing of self-driving cars software</t>
  </si>
  <si>
    <t>Empirical Software Engineering</t>
  </si>
  <si>
    <t>10.1007/s10664-023-10286-y</t>
  </si>
  <si>
    <t>Machine Learning Methods in Solving the Boolean Satisfiability Problem</t>
  </si>
  <si>
    <t>Machine Intelligence Research</t>
  </si>
  <si>
    <t>10.1007/s11633-022-1396-2</t>
  </si>
  <si>
    <t>Chip design with machine learning: a survey from algorithm perspective</t>
  </si>
  <si>
    <t>10.1007/s11432-022-3772-8</t>
  </si>
  <si>
    <t>Deploying deep learning networks based advanced techniques for image processing on FPGA platform</t>
  </si>
  <si>
    <t>10.1007/s00521-023-08718-3</t>
  </si>
  <si>
    <t>ARCHER: a ReRAM-based accelerator for compressed recommendation systems</t>
  </si>
  <si>
    <t>10.1007/s11704-023-3397-x</t>
  </si>
  <si>
    <t>High-performance computing for SKA transient search: Use of FPGA-based accelerators</t>
  </si>
  <si>
    <t>Journal of Astrophysics and Astronomy</t>
  </si>
  <si>
    <t>10.1007/s12036-022-09896-7</t>
  </si>
  <si>
    <t>GAHLS: an optimized graph analytics based high level synthesis framework</t>
  </si>
  <si>
    <t>10.1038/s41598-023-48981-x</t>
  </si>
  <si>
    <t>TinyML: Tools, applications, challenges, and future research directions</t>
  </si>
  <si>
    <t>10.1007/s11042-023-16740-9</t>
  </si>
  <si>
    <t>A hybrid crossbar-ring on chip network topology for performance improvement of multicore architectures</t>
  </si>
  <si>
    <t>10.1007/s41870-023-01433-1</t>
  </si>
  <si>
    <t>RISC-V Processor Technologies for Aerospace Applications in the ISOLDE Project</t>
  </si>
  <si>
    <t>Embedded Computer Systems: Architectures, Modeling, and Simulation</t>
  </si>
  <si>
    <t>10.1007/978-3-031-46077-7_24</t>
  </si>
  <si>
    <t>Designing a BCI Platform with Embedded ANN as an Aid for Autism Spectrum Disorder (ASD) Diagnosis: A Preliminary Study</t>
  </si>
  <si>
    <t>Agents and Multi-agent Systems: Technologies and Applications 2023</t>
  </si>
  <si>
    <t>10.1007/978-981-99-3068-5_23</t>
  </si>
  <si>
    <t>FPGA implementation of breast cancer detection using SVM linear classifier</t>
  </si>
  <si>
    <t>10.1007/s11042-023-15121-6</t>
  </si>
  <si>
    <t>FPGA-Based Hardware-Accelerated Design of Linear Prediction Analysis for Real-Time Speech Signal</t>
  </si>
  <si>
    <t>10.1007/s13369-023-07926-2</t>
  </si>
  <si>
    <t>Aspect Ratio Estimation of a Two-Stage Operational Amplifier</t>
  </si>
  <si>
    <t>VLSI, Communication and Signal Processing</t>
  </si>
  <si>
    <t>10.1007/978-981-99-0973-5_40</t>
  </si>
  <si>
    <t>Resource scheduling techniques in cloud from a view of coordination: a holistic survey</t>
  </si>
  <si>
    <t>10.1631/FITEE.2100298</t>
  </si>
  <si>
    <t>Scalable and custom-precision floating-point hardware convolution core for using in AI edge processors</t>
  </si>
  <si>
    <t>10.1007/s11554-023-01352-1</t>
  </si>
  <si>
    <t>H-Storm: A Hybrid CPU-FPGA Architecture to Accelerate Apache Storm</t>
  </si>
  <si>
    <t>10.1007/s10723-023-09692-9</t>
  </si>
  <si>
    <t>The Good, the Bad and the Ugly: Practices and Perspectives on Hardware Acceleration for Embedded Image Processing</t>
  </si>
  <si>
    <t>10.1007/s11265-023-01885-5</t>
  </si>
  <si>
    <t>Droplet-based microfluidics</t>
  </si>
  <si>
    <t>Nature Reviews Methods Primers</t>
  </si>
  <si>
    <t>10.1038/s43586-023-00212-3</t>
  </si>
  <si>
    <t>GMM-Based Speaker Verification System with Hardware MFCC in SoC Design</t>
  </si>
  <si>
    <t>10.1007/s11042-023-17561-6</t>
  </si>
  <si>
    <t>The physics of optical computing</t>
  </si>
  <si>
    <t>Nature Reviews Physics</t>
  </si>
  <si>
    <t>10.1038/s42254-023-00645-5</t>
  </si>
  <si>
    <t>Vulnerabilities and attacks assessments in blockchain 1.0, 2.0 and 3.0: tools, analysis and countermeasures</t>
  </si>
  <si>
    <t>International Journal of Information Security</t>
  </si>
  <si>
    <t>10.1007/s10207-023-00765-0</t>
  </si>
  <si>
    <t>Power Modeling for Energy-Efficient Resource Management in a Cloud Data Center</t>
  </si>
  <si>
    <t>10.1007/s10723-023-09642-5</t>
  </si>
  <si>
    <t>MoDLF: a model-driven deep learning framework for autonomous vehicle perception (AVP)</t>
  </si>
  <si>
    <t>Proceedings of the 25th International Conference on Model Driven Engineering Languages and Systems</t>
  </si>
  <si>
    <t>10.1145/3550355.3552453</t>
  </si>
  <si>
    <t>IEEE CEDA DATC: Expanding Research Foundations for IC Physical Design and ML-Enabled EDA</t>
  </si>
  <si>
    <t>Proceedings of the 41st IEEE/ACM International Conference on Computer-Aided Design</t>
  </si>
  <si>
    <t>10.1145/3508352.3561379</t>
  </si>
  <si>
    <t>Workload characterization of a time-series prediction system for spatio-temporal data</t>
  </si>
  <si>
    <t>Proceedings of the 19th ACM International Conference on Computing Frontiers</t>
  </si>
  <si>
    <t>10.1145/3528416.3530242</t>
  </si>
  <si>
    <t>Reinforcement Learning for Electronic Design Automation: Case Studies and Perspectives</t>
  </si>
  <si>
    <t>Proceedings of the 27th Asia and South Pacific Design Automation Conference</t>
  </si>
  <si>
    <t>10.1109/ASP-DAC52403.2022.9712578</t>
  </si>
  <si>
    <t>From Hard-Coded Heuristics to ML-Driven Optimization: New Frontiers for EDA</t>
  </si>
  <si>
    <t>Proceedings of the 2022 International Symposium on Physical Design</t>
  </si>
  <si>
    <t>10.1145/3505170.3511799</t>
  </si>
  <si>
    <t>Graph Neural Network based Hardware Trojan Detection at Intermediate Representative for SoC Platforms</t>
  </si>
  <si>
    <t>Proceedings of the Great Lakes Symposium on VLSI 2022</t>
  </si>
  <si>
    <t>10.1145/3526241.3530827</t>
  </si>
  <si>
    <t>REMOT: A Hardware-Software Architecture for Attention-Guided Multi-Object Tracking with Dynamic Vision Sensors on FPGAs</t>
  </si>
  <si>
    <t>Proceedings of the 2022 ACM/SIGDA International Symposium on Field-Programmable Gate Arrays</t>
  </si>
  <si>
    <t>10.1145/3490422.3502365</t>
  </si>
  <si>
    <t>A Stochastic Approach to Handle Non-Determinism in Deep Learning-Based Design Rule Violation Predictions</t>
  </si>
  <si>
    <t>10.1145/3508352.3549347</t>
  </si>
  <si>
    <t>Hardware acceleration of complex machine learning models through modern high-level synthesis</t>
  </si>
  <si>
    <t>10.1145/3528416.3530870</t>
  </si>
  <si>
    <t>Hardware IP Protection against Confidentiality Attacks and Evolving Role of CAD Tool</t>
  </si>
  <si>
    <t>10.1145/3508352.3561103</t>
  </si>
  <si>
    <t>Leveling Up: A Trajectory of OpenROAD, TILOS and Beyond</t>
  </si>
  <si>
    <t>10.1145/3505170.3511479</t>
  </si>
  <si>
    <t>FastStamp: Accelerating Neural Steganography and Digital Watermarking of Images on FPGAs</t>
  </si>
  <si>
    <t>10.1145/3508352.3549357</t>
  </si>
  <si>
    <t>A full-stack search technique for domain optimized deep learning accelerators</t>
  </si>
  <si>
    <t>Proceedings of the 27th ACM International Conference on Architectural Support for Programming Languages and Operating Systems</t>
  </si>
  <si>
    <t>10.1145/3503222.3507767</t>
  </si>
  <si>
    <t>Accelerated GNN Training with DGL and RAPIDS cuGraph in a Fraud Detection Workflow</t>
  </si>
  <si>
    <t>Proceedings of the 28th ACM SIGKDD Conference on Knowledge Discovery and Data Mining</t>
  </si>
  <si>
    <t>10.1145/3534678.3542603</t>
  </si>
  <si>
    <t>Exploring the Use of Novel Spatial Accelerators in Scientific Applications</t>
  </si>
  <si>
    <t>Proceedings of the 2022 ACM/SPEC on International Conference on Performance Engineering</t>
  </si>
  <si>
    <t>10.1145/3489525.3511690</t>
  </si>
  <si>
    <t>A timing engine inspired graph neural network model for pre-routing slack prediction</t>
  </si>
  <si>
    <t>Proceedings of the 59th ACM/IEEE Design Automation Conference</t>
  </si>
  <si>
    <t>10.1145/3489517.3530597</t>
  </si>
  <si>
    <t>Accelerated Fire Detection and Localization at Edge</t>
  </si>
  <si>
    <t>10.1145/3510027</t>
  </si>
  <si>
    <t>Towards Collaborative Intelligence: Routability Estimation based on Decentralized Private Data</t>
  </si>
  <si>
    <t>Proceedings - Design Automation Conference</t>
  </si>
  <si>
    <t>10.1145/3489517.3530578</t>
  </si>
  <si>
    <t>On Advancing Physical Design Using Graph Neural Networks</t>
  </si>
  <si>
    <t>10.1145/3508352.3561094</t>
  </si>
  <si>
    <t>Predictive Model Attack for Embedded FPGA Logic Locking</t>
  </si>
  <si>
    <t>Proceedings of the ACM/IEEE International Symposium on Low Power Electronics and Design</t>
  </si>
  <si>
    <t>10.1145/3531437.3539728</t>
  </si>
  <si>
    <t>Optimized is Not Always Optimal - The Dilemma of Analog Design Automation</t>
  </si>
  <si>
    <t>10.1145/3505170.3511042</t>
  </si>
  <si>
    <t>SODA-OPT an MLIR based flow for co-design and high-level synthesis</t>
  </si>
  <si>
    <t>10.1145/3528416.3530866</t>
  </si>
  <si>
    <t>The SODA approach: leveraging high-level synthesis for hardware/software co-design and hardware specialization: invited</t>
  </si>
  <si>
    <t>10.1145/3489517.3530628</t>
  </si>
  <si>
    <t>CNN-inspired analytical global placement for large-scale heterogeneous FPGAs</t>
  </si>
  <si>
    <t>10.1145/3489517.3530566</t>
  </si>
  <si>
    <t>Improving Chip Design Performance and Productivity Using Machine Learning</t>
  </si>
  <si>
    <t>10.1145/3505170.3511475</t>
  </si>
  <si>
    <t>Congestion and Timing Aware Macro Placement Using Machine Learning Predictions from Different Data Sources</t>
  </si>
  <si>
    <t>10.1145/3505170.3506722</t>
  </si>
  <si>
    <t>PPATuner: pareto-driven tool parameter auto-tuning in physical design via gaussian process transfer learning</t>
  </si>
  <si>
    <t>10.1145/3489517.3530602</t>
  </si>
  <si>
    <t>DeepGate: learning neural representations of logic gates</t>
  </si>
  <si>
    <t>10.1145/3489517.3530497</t>
  </si>
  <si>
    <t>Towards Agile DNN Accelerator Design Using Incremental Synthesis on FPGAs</t>
  </si>
  <si>
    <t>10.1145/3490422.3502351</t>
  </si>
  <si>
    <t>Machine-Learning Enabled PPA Closure for Next-Generation Designs</t>
  </si>
  <si>
    <t>10.1145/3505170.3511037</t>
  </si>
  <si>
    <t>Opportunities and challenges of AI on satellite processing units</t>
  </si>
  <si>
    <t>10.1145/3528416.3530985</t>
  </si>
  <si>
    <t>Energy Efficient Boosting of GEMM Accelerators for DNN via Reuse</t>
  </si>
  <si>
    <t>10.1145/3503469</t>
  </si>
  <si>
    <t>Training PPA Models for Embedded Memories on a Low-data Diet</t>
  </si>
  <si>
    <t>10.1145/3556539</t>
  </si>
  <si>
    <t>O'clock: lock the clock via clock-gating for SoC IP protection</t>
  </si>
  <si>
    <t>10.1145/3489517.3530542</t>
  </si>
  <si>
    <t>Generalizable Floorplanner through Corner Block List Representation and Hypergraph Embedding</t>
  </si>
  <si>
    <t>10.1145/3534678.3539220</t>
  </si>
  <si>
    <t>Protecting adaptive sampling from information leakage on low-power sensors</t>
  </si>
  <si>
    <t>10.1145/3503222.3507775</t>
  </si>
  <si>
    <t>DREAMPlaceFPGA: An Open-Source Analytical Placer for Large Scale Heterogeneous FPGAs Using Deep-Learning Toolkit</t>
  </si>
  <si>
    <t>10.1109/ASP-DAC52403.2022.9712562</t>
  </si>
  <si>
    <t>SODA Synthesizer: An Open-Source, Multi-Level, Modular, Extensible Compiler from High-Level Frameworks to Silicon</t>
  </si>
  <si>
    <t>10.1145/3508352.3561101</t>
  </si>
  <si>
    <t>Pushing the Level of Abstraction of Digital System Design: A Survey on How to Program FPGAs</t>
  </si>
  <si>
    <t>10.1145/3532989</t>
  </si>
  <si>
    <t>High-level synthesis performance prediction using GNNs: benchmarking, modeling, and advancing</t>
  </si>
  <si>
    <t>10.1145/3489517.3530408</t>
  </si>
  <si>
    <t>VELTAIR: towards high-performance multi-tenant deep learning services via adaptive compilation and scheduling</t>
  </si>
  <si>
    <t>10.1145/3503222.3507752</t>
  </si>
  <si>
    <t>Batch Sequential Black-Box Optimization with Embedding Alignment Cells for Logic Synthesis</t>
  </si>
  <si>
    <t>10.1145/3508352.3549363</t>
  </si>
  <si>
    <t>Leveraging Machine Learning for Gate-level Timing Estimation Using Current Source Models and Effective Capacitance</t>
  </si>
  <si>
    <t>10.1145/3526241.3530343</t>
  </si>
  <si>
    <t>A Survey of Machine Learning for Computer Architecture and Systems</t>
  </si>
  <si>
    <t>10.1145/3494523</t>
  </si>
  <si>
    <t>Neural Architecture Search Survey: A Hardware Perspective</t>
  </si>
  <si>
    <t>10.1145/3524500</t>
  </si>
  <si>
    <t>FPGA HLS Today: Successes, Challenges, and Opportunities</t>
  </si>
  <si>
    <t>10.1145/3530775</t>
  </si>
  <si>
    <t>Machine Learning Based Framework for Fast Resource Estimation of RTL Designs Targeting FPGAs</t>
  </si>
  <si>
    <t>10.1145/3555047</t>
  </si>
  <si>
    <t>HIMap: a heuristic and iterative logic synthesis approach</t>
  </si>
  <si>
    <t>10.1145/3489517.3530460</t>
  </si>
  <si>
    <t>RTL-MP: Toward Practical, Human-Quality Chip Planning and Macro Placement</t>
  </si>
  <si>
    <t>10.1145/3505170.3506731</t>
  </si>
  <si>
    <t>A Mixed Open-Source and Proprietary EDA Commons for Education and Prototyping</t>
  </si>
  <si>
    <t>10.1145/3508352.3561378</t>
  </si>
  <si>
    <t>Scalability and Generalization of Circuit Training for Chip Floorplanning</t>
  </si>
  <si>
    <t>10.1145/3505170.3511478</t>
  </si>
  <si>
    <t>Data and Computation Reuse in CNNs Using Memristor TCAMs</t>
  </si>
  <si>
    <t>10.1145/3549536</t>
  </si>
  <si>
    <t>Debugging in the brave new world of reconfigurable hardware</t>
  </si>
  <si>
    <t>10.1145/3503222.3507701</t>
  </si>
  <si>
    <t>Automatic calibration of magnetic tracking</t>
  </si>
  <si>
    <t>Proceedings of the 28th Annual International Conference on Mobile Computing And Networking</t>
  </si>
  <si>
    <t>10.1145/3495243.3558760</t>
  </si>
  <si>
    <t>ATTRITION: Attacking Static Hardware Trojan Detection Techniques Using Reinforcement Learning</t>
  </si>
  <si>
    <t>Proceedings of the 2022 ACM SIGSAC Conference on Computer and Communications Security</t>
  </si>
  <si>
    <t>10.1145/3548606.3560690</t>
  </si>
  <si>
    <t>N3H-Core: Neuron-designed Neural Network Accelerator via FPGA-based Heterogeneous Computing Cores</t>
  </si>
  <si>
    <t>10.1145/3490422.3502367</t>
  </si>
  <si>
    <t>Mandheling: mixed-precision on-device DNN training with DSP offloading</t>
  </si>
  <si>
    <t>10.1145/3495243.3560545</t>
  </si>
  <si>
    <t>EVE: Environmental Adaptive Neural Network Models for Low-Power Energy Harvesting System</t>
  </si>
  <si>
    <t>10.1145/3508352.3549451</t>
  </si>
  <si>
    <t>GPU Devices for Safety-Critical Systems: A Survey</t>
  </si>
  <si>
    <t>10.1145/3549526</t>
  </si>
  <si>
    <t>Thermometer: profile-guided btb replacement for data center applications</t>
  </si>
  <si>
    <t>Proceedings of the 49th Annual International Symposium on Computer Architecture</t>
  </si>
  <si>
    <t>10.1145/3470496.3527430</t>
  </si>
  <si>
    <t>TaskStream: accelerating task-parallel workloads by recovering program structure</t>
  </si>
  <si>
    <t>10.1145/3503222.3507706</t>
  </si>
  <si>
    <t>Graphite: optimizing graph neural networks on CPUs through cooperative software-hardware techniques</t>
  </si>
  <si>
    <t>10.1145/3470496.3527403</t>
  </si>
  <si>
    <t>Cooperative Concurrency Control for Write-Intensive Key-Value Workloads</t>
  </si>
  <si>
    <t>Proceedings of the 28th ACM International Conference on Architectural Support for Programming Languages and Operating Systems, Volume 1</t>
  </si>
  <si>
    <t>10.1145/3567955.3567957</t>
  </si>
  <si>
    <t>The Role of Compute in Autonomous Micro Aerial Vehicles: Optimizing for Mission Time and Energy Efficiency</t>
  </si>
  <si>
    <t>10.1145/3511210</t>
  </si>
  <si>
    <t>Clio: a hardware-software co-designed disaggregated memory system</t>
  </si>
  <si>
    <t>10.1145/3503222.3507762</t>
  </si>
  <si>
    <t>Machine Learning-Based Hard/Soft Logic Trade-offs in VTR</t>
  </si>
  <si>
    <t>Proceedings - IEEE International Symposium on Rapid System Prototyping, RSP</t>
  </si>
  <si>
    <t>10.1109/RSP57251.2022.10039002</t>
  </si>
  <si>
    <t>Analog/Mixed-Signal Circuit Synthesis Enabled by the Advancements of Circuit Architectures and Machine Learning Algorithms,</t>
  </si>
  <si>
    <t>2022 27th Asia and South Pacific Design Automation Conference (ASP-DAC)</t>
  </si>
  <si>
    <t>10.1109/ASP-DAC52403.2022.9712577</t>
  </si>
  <si>
    <t>Gradual-N-Justification (GNJ) to Reduce False-Positive Hardware Trojan Detection in Gate-Level Netlist,</t>
  </si>
  <si>
    <t>10.1109/TVLSI.2022.3143349</t>
  </si>
  <si>
    <t>Automated Synthesis of Asynchronous Tsetlin Machines on FPGA,</t>
  </si>
  <si>
    <t>2022 29th IEEE International Conference on Electronics</t>
  </si>
  <si>
    <t>10.1109/ICECS202256217.2022.9970999</t>
  </si>
  <si>
    <t>Early Stage DRC Prediction Using Ensemble Machine Learning Algorithms,</t>
  </si>
  <si>
    <t>IEEE Canadian Journal of Electrical and Computer Engineering</t>
  </si>
  <si>
    <t>10.1109/ICJECE.2022.3200075</t>
  </si>
  <si>
    <t>A Machine Learning-Powered Tier Partitioning Methodology for Monolithic 3-D ICs,</t>
  </si>
  <si>
    <t>10.1109/TCAD.2021.3139310</t>
  </si>
  <si>
    <t>Predicting Post-Route Quality of Results Estimates for HLS Designs using Machine Learning,</t>
  </si>
  <si>
    <t>2022 23rd International Symposium on Quality Electronic Design (ISQED)</t>
  </si>
  <si>
    <t>10.1109/ISQED54688.2022.9806201</t>
  </si>
  <si>
    <t>Optimizing ML Classification Models for Constrained EDA Resource Budgets,</t>
  </si>
  <si>
    <t>2022 IEEE 40th International Conference on Computer Design (ICCD)</t>
  </si>
  <si>
    <t>10.1109/ICCD56317.2022.00041</t>
  </si>
  <si>
    <t>GoodFloorplan: Graph Convolutional Network and Reinforcement Learning-Based Floorplanning</t>
  </si>
  <si>
    <t>10.1109/TCAD.2021.3131550</t>
  </si>
  <si>
    <t>Preplacement Net Length and Timing Estimation by Customized Graph Neural Network,</t>
  </si>
  <si>
    <t>10.1109/TCAD.2022.3149977</t>
  </si>
  <si>
    <t>PipeFL: Hardware/Software co-Design of an FPGA Accelerator for Federated Learning</t>
  </si>
  <si>
    <t>10.1109/ACCESS.2022.3206785</t>
  </si>
  <si>
    <t>High-Speed Adder Design Space Exploration via Graph Neural Processes,</t>
  </si>
  <si>
    <t>10.1109/TCAD.2021.3114262</t>
  </si>
  <si>
    <t>Exploring Bitslicing Architectures for Enabling FHE-Assisted Machine Learning,</t>
  </si>
  <si>
    <t>10.1109/TCAD.2022.3204909</t>
  </si>
  <si>
    <t>Catalyzing the Impossible: Silicon, Software, and Smarts for the SysMoore Era,</t>
  </si>
  <si>
    <t>2022 IEEE International Solid-State Circuits Conference (ISSCC)</t>
  </si>
  <si>
    <t>10.1109/ISSCC42614.2022.9731643</t>
  </si>
  <si>
    <t>A Generalized Workflow for Creating Machine Learning-Powered Compact Models for Multi-State Devices,</t>
  </si>
  <si>
    <t>10.1109/ACCESS.2022.3218333</t>
  </si>
  <si>
    <t>Adaptive Subsampling for ROI-Based Visual Tracking: Algorithms and FPGA Implementation,</t>
  </si>
  <si>
    <t>10.1109/ACCESS.2022.3200755</t>
  </si>
  <si>
    <t>Knowledge Transfer in Board-Level Functional Fault Diagnosis Enabled by Domain Adaptation,</t>
  </si>
  <si>
    <t>10.1109/TCAD.2021.3065919</t>
  </si>
  <si>
    <t>ACED-IT: Assuring Confidential Electronic Design Against Insider Threats in a Zero-Trust Environment,</t>
  </si>
  <si>
    <t>10.1109/TCAD.2021.3127864</t>
  </si>
  <si>
    <t>STPAcc: Structural TI-Based Pruning for Accelerating Distance-Related Algorithms on CPU-FPGA Platforms,</t>
  </si>
  <si>
    <t>10.1109/TCAD.2021.3093394</t>
  </si>
  <si>
    <t>Algorithm Selection Framework for Legalization Using Deep Convolutional Neural Networks and Transfer Learning,</t>
  </si>
  <si>
    <t>10.1109/TCAD.2021.3079126</t>
  </si>
  <si>
    <t>H2Learn: High-Efficiency Learning Accelerator for High-Accuracy Spiking Neural Networks,</t>
  </si>
  <si>
    <t>10.1109/TCAD.2021.3138347</t>
  </si>
  <si>
    <t>DAMO: Deep Agile Mask Optimization for Full-Chip Scale,</t>
  </si>
  <si>
    <t>10.1109/TCAD.2021.3116511</t>
  </si>
  <si>
    <t>IVQ: In-Memory Acceleration of DNN Inference Exploiting Varied Quantization,</t>
  </si>
  <si>
    <t>10.1109/TCAD.2022.3156017</t>
  </si>
  <si>
    <t>Neuromorphic In-Memory RRAM NAND/NOR Circuit Performance Analysis in a CNN Training Framework on the Edge for Low Power IoT,</t>
  </si>
  <si>
    <t>10.1109/ACCESS.2022.3219066</t>
  </si>
  <si>
    <t>A Framework for Accelerating Transformer-Based Language Model on ReRAM-Based Architecture,</t>
  </si>
  <si>
    <t>10.1109/TCAD.2021.3121264</t>
  </si>
  <si>
    <t>FiBHA: Fixed Budget Hybrid CNN Accelerator</t>
  </si>
  <si>
    <t>Proceedings - Symposium on Computer Architecture and High Performance Computing</t>
  </si>
  <si>
    <t>10.1109/SBAC-PAD55451.2022.00029</t>
  </si>
  <si>
    <t>AIgean: An Open Framework for Deploying Machine Learning on Heterogeneous Clusters</t>
  </si>
  <si>
    <t>10.1145/3482854</t>
  </si>
  <si>
    <t>A Machine Learning Approach for Optimization of Channel Geometry and Source/Drain Doping Profile of Stacked Nanosheet Transistors</t>
  </si>
  <si>
    <t>10.1109/TED.2022.3175708</t>
  </si>
  <si>
    <t>CircuitNet: an open-source dataset for machine learning applications in electronic design automation (EDA)</t>
  </si>
  <si>
    <t>10.1007/s11432-022-3571-8</t>
  </si>
  <si>
    <t>Towards An FPGA-targeted Hardware/Software Co-design Framework for CNN-based Edge Computing</t>
  </si>
  <si>
    <t>Mobile Networks and Applications</t>
  </si>
  <si>
    <t>10.1007/s11036-022-01985-9</t>
  </si>
  <si>
    <t>Hardware/Software Co-Design of an Automatically Generated Analog NN</t>
  </si>
  <si>
    <t>10.1007/978-3-031-04580-6_26</t>
  </si>
  <si>
    <t>Deep learning for compressive sensing: a ubiquitous systems perspective</t>
  </si>
  <si>
    <t>10.1007/s10462-022-10259-5</t>
  </si>
  <si>
    <t>The automated Galaxy-SynBioCAD pipeline for synthetic biology design and engineering</t>
  </si>
  <si>
    <t>10.1038/s41467-022-32661-x</t>
  </si>
  <si>
    <t>Prediction of job characteristics for intelligent resource allocation in HPC systems: a survey and future directions</t>
  </si>
  <si>
    <t>10.1007/s11704-022-0625-8</t>
  </si>
  <si>
    <t>FPGA Implementation of an Ultrasonic Flaw Detection Algorithm Based on Convolutional Neural Networks</t>
  </si>
  <si>
    <t>10.1007/s11265-022-01756-5</t>
  </si>
  <si>
    <t>FPGA-Based Dynamic Deep Learning Acceleration for Real-Time Video Analytics</t>
  </si>
  <si>
    <t>10.1007/978-3-031-21867-5_5</t>
  </si>
  <si>
    <t>A survey on superconducting computing technology: circuits, architectures and design tools</t>
  </si>
  <si>
    <t>10.1007/s42514-022-00089-w</t>
  </si>
  <si>
    <t>Deep CNN Co-design for HEVC CU Partition Prediction on FPGAÃ¢Â€Â“SoC</t>
  </si>
  <si>
    <t>Neural Processing Letters</t>
  </si>
  <si>
    <t>10.1007/s11063-022-10765-1</t>
  </si>
  <si>
    <t>Time-varying multi-objective region iterative learning motion control</t>
  </si>
  <si>
    <t>Journal of Mechanical Science and Technology</t>
  </si>
  <si>
    <t>10.1007/s12206-022-1236-x</t>
  </si>
  <si>
    <t>Superconducting single flux quantum (SFQ) technology for power-efficiency computing</t>
  </si>
  <si>
    <t>10.1007/s42514-022-00114-y</t>
  </si>
  <si>
    <t>Design possibilities and challenges of DNN models: a review on the perspective of end devices</t>
  </si>
  <si>
    <t>10.1007/s10462-022-10138-z</t>
  </si>
  <si>
    <t>A Primer for tinyML Predictive Maintenance: Input and Model Optimisation</t>
  </si>
  <si>
    <t>Artificial Intelligence Applications and Innovations</t>
  </si>
  <si>
    <t>10.1007/978-3-031-08337-2_6</t>
  </si>
  <si>
    <t>Efficient Reconfigurable Mixed Precision &lt;span class="mathjax-tex"&gt;\(\ell _1\)&lt;/span&gt; Solver for Compressive Depth Reconstruction</t>
  </si>
  <si>
    <t>10.1007/s11265-022-01766-3</t>
  </si>
  <si>
    <t>Hardware and Software Co-optimization for Windows Attention</t>
  </si>
  <si>
    <t>Knowledge Science, Engineering and Management</t>
  </si>
  <si>
    <t>10.1007/978-3-031-10989-8_52</t>
  </si>
  <si>
    <t>COMET: A Domain-Specific Compilation of High-Performance Computational Chemistry</t>
  </si>
  <si>
    <t>Languages and Compilers for Parallel Computing</t>
  </si>
  <si>
    <t>10.1007/978-3-030-95953-1_7</t>
  </si>
  <si>
    <t>Large scale &lt;i&gt;K&lt;/i&gt;-means clustering using GPUs</t>
  </si>
  <si>
    <t>Data Mining and Knowledge Discovery</t>
  </si>
  <si>
    <t>10.1007/s10618-022-00869-6</t>
  </si>
  <si>
    <t>FPGA Implementation of a Bearing Fault Classification System Based on an Envelope Analysis and Artificial Neural Network</t>
  </si>
  <si>
    <t>10.1007/s13369-022-06599-7</t>
  </si>
  <si>
    <t>Attestation Mechanisms for Trusted Execution Environments Demystified</t>
  </si>
  <si>
    <t>Distributed Applications and Interoperable Systems</t>
  </si>
  <si>
    <t>10.1007/978-3-031-16092-9_7</t>
  </si>
  <si>
    <t>D-Cubicle: boosting data transfer dynamically for large-scale analytical queries in single-GPU systems</t>
  </si>
  <si>
    <t>10.1007/s11704-022-2160-z</t>
  </si>
  <si>
    <t>Machine Learning for Electronic Design Automation: A Survey</t>
  </si>
  <si>
    <t>10.1145/3451179</t>
  </si>
  <si>
    <t>Statement-Level Timing Estimation for Embedded System Design Using Machine Learning Techniques</t>
  </si>
  <si>
    <t>Proceedings of the ACM/SPEC International Conference on Performance Engineering</t>
  </si>
  <si>
    <t>10.1145/3427921.3450258</t>
  </si>
  <si>
    <t>Warehouse-scale video acceleration: co-design and deployment in the wild</t>
  </si>
  <si>
    <t>Proceedings of the 26th ACM International Conference on Architectural Support for Programming Languages and Operating Systems</t>
  </si>
  <si>
    <t>10.1145/3445814.3446723</t>
  </si>
  <si>
    <t>Automated HW/SW co-design for edge AI: State, challenges and steps ahead</t>
  </si>
  <si>
    <t>Proceedings - 2021 International Conference on Hardware/Software Codesign and System Synthesis, CODES+ISSS 2021</t>
  </si>
  <si>
    <t>10.1145/3478684.3479261</t>
  </si>
  <si>
    <t>Editorial: Reimagining ACM Transactions on Embedded Computing Systems (TECS)</t>
  </si>
  <si>
    <t>10.1145/3450438</t>
  </si>
  <si>
    <t>Still Benchmarking After All These Years</t>
  </si>
  <si>
    <t>Proceedings of the 2021 International Symposium on Physical Design</t>
  </si>
  <si>
    <t>10.1145/3439706.3446885</t>
  </si>
  <si>
    <t>Programming and Synthesis for Software-defined FPGA Acceleration: Status and Future Prospects</t>
  </si>
  <si>
    <t>10.1145/3469660</t>
  </si>
  <si>
    <t>Read your Circuit: Leveraging Word Embedding to Guide Logic Optimization</t>
  </si>
  <si>
    <t>Proceedings of the 26th Asia and South Pacific Design Automation Conference</t>
  </si>
  <si>
    <t>10.1145/3394885.3431560</t>
  </si>
  <si>
    <t>The Law of Attraction: Affinity-Aware Placement Optimization using Graph Neural Networks</t>
  </si>
  <si>
    <t>10.1145/3439706.3447045</t>
  </si>
  <si>
    <t>ALPINE: An Agile Processing-in-Memory Macro Compilation Framework</t>
  </si>
  <si>
    <t>Proceedings of the 2021 Great Lakes Symposium on VLSI</t>
  </si>
  <si>
    <t>10.1145/3453688.3461532</t>
  </si>
  <si>
    <t>Emergent design challenges for embedded systems and paths forward: mixed-criticality, energy, reliability and security perspectives</t>
  </si>
  <si>
    <t>Proceedings of the 2021 International Conference on Hardware/Software Codesign and System Synthesis</t>
  </si>
  <si>
    <t>10.1145/3478684.3479246</t>
  </si>
  <si>
    <t>Hardware Trust and Assurance through Reverse Engineering: A Tutorial and Outlook from Image Analysis and Machine Learning Perspectives</t>
  </si>
  <si>
    <t>J. Emerg. Technol. Comput. Syst.</t>
  </si>
  <si>
    <t>10.1145/3464959</t>
  </si>
  <si>
    <t>FlashEmbedding: storing embedding tables in SSD for large-scale recommender systems</t>
  </si>
  <si>
    <t>Proceedings of the 12th ACM SIGOPS Asia-Pacific Workshop on Systems</t>
  </si>
  <si>
    <t>10.1145/3476886.3477511</t>
  </si>
  <si>
    <t>Performance Evaluation and Improvement of Real-Time Computer Vision Applications for Edge Computing Devices</t>
  </si>
  <si>
    <t>Companion of the ACM/SPEC International Conference on Performance Engineering</t>
  </si>
  <si>
    <t>10.1145/3447545.3451202</t>
  </si>
  <si>
    <t>Invited: Getting the Most out of your Circuits with Heterogeneous Logic Synthesis</t>
  </si>
  <si>
    <t>10.1109/DAC18074.2021.9586215</t>
  </si>
  <si>
    <t>Hardware Performance Counters: Ready-Made vs Tailor-Made</t>
  </si>
  <si>
    <t>10.1145/3476996</t>
  </si>
  <si>
    <t>Towards scalable, secure, and smart mission-critical IoT systems: review and vision</t>
  </si>
  <si>
    <t>Proceedings of the 2021 International Conference on Embedded Software</t>
  </si>
  <si>
    <t>10.1145/3477244.3477624</t>
  </si>
  <si>
    <t>Net2: A Graph Attention Network Method Customized for Pre-Placement Net Length Estimation</t>
  </si>
  <si>
    <t>10.1145/3394885.3431562</t>
  </si>
  <si>
    <t>HW-FlowQ: A Multi-Abstraction Level HW-CNN Co-design Quantization Methodology</t>
  </si>
  <si>
    <t>10.1145/3476997</t>
  </si>
  <si>
    <t>Algorithm-hardware Co-design of Attention Mechanism on FPGA Devices</t>
  </si>
  <si>
    <t>10.1145/3477002</t>
  </si>
  <si>
    <t>HASCO: towards agile &amp;lt;u&amp;gt;ha&amp;lt;/u&amp;gt;rdware and &amp;lt;u&amp;gt;s&amp;lt;/u&amp;gt;oftware &amp;lt;u&amp;gt;co&amp;lt;/u&amp;gt;-design for tensor computation</t>
  </si>
  <si>
    <t>Proceedings of the 48th Annual International Symposium on Computer Architecture</t>
  </si>
  <si>
    <t>10.1109/ISCA52012.2021.00086</t>
  </si>
  <si>
    <t>DOSAGE: generating domain-specific accelerators for resource-constrained computing</t>
  </si>
  <si>
    <t>10.1109/ISLPED52811.2021.9502501</t>
  </si>
  <si>
    <t>Computing Graph Neural Networks: A Survey from Algorithms to Accelerators</t>
  </si>
  <si>
    <t>10.1145/3477141</t>
  </si>
  <si>
    <t>FLASH: Fast Neural Architecture Search with Hardware Optimization</t>
  </si>
  <si>
    <t>10.1145/3476994</t>
  </si>
  <si>
    <t>SAGE: A Split-Architecture Methodology for Efficient End-to-End Autonomous Vehicle Control</t>
  </si>
  <si>
    <t>10.1145/3477006</t>
  </si>
  <si>
    <t>Machine Learning-Enabled High-Frequency Low-Power Digital Design Implementation At Advanced Process Nodes</t>
  </si>
  <si>
    <t>10.1145/3439706.3447043</t>
  </si>
  <si>
    <t>On Designing Computing Systems for Autonomous Vehicles: a PerceptIn Case Study</t>
  </si>
  <si>
    <t>10.1145/3394885.3431621</t>
  </si>
  <si>
    <t>A Scalable and Robust Hierarchical Floorplanning to Enable 24-hour Prototyping for 100k-LUT FPGAs</t>
  </si>
  <si>
    <t>10.1145/3439706.3447047</t>
  </si>
  <si>
    <t>Design Space Exploration of Heterogeneous-Accelerator SoCs with Hyperparameter Optimization</t>
  </si>
  <si>
    <t>10.1145/3394885.3431415</t>
  </si>
  <si>
    <t>Efficient Computing Platform Design for Autonomous Driving Systems</t>
  </si>
  <si>
    <t>10.1145/3394885.3431620</t>
  </si>
  <si>
    <t>FPGA/GPU-based Acceleration for Frequent Itemsets Mining: A Comprehensive Review</t>
  </si>
  <si>
    <t>10.1145/3472289</t>
  </si>
  <si>
    <t>Chimera: A Low-power Reconfigurable Platform for Internet of Things</t>
  </si>
  <si>
    <t>ACM Trans. Internet Things</t>
  </si>
  <si>
    <t>10.1145/3440995</t>
  </si>
  <si>
    <t>Efficient Application of Tensor Core Units for Convolving Images</t>
  </si>
  <si>
    <t>Proceedings of the 24th International Workshop on Software and Compilers for Embedded Systems</t>
  </si>
  <si>
    <t>10.1145/3493229.3493305</t>
  </si>
  <si>
    <t>An instruction-level power and energy model for the rocket chip generator</t>
  </si>
  <si>
    <t>10.1109/ISLPED52811.2021.9502485</t>
  </si>
  <si>
    <t>RaPiD: AI accelerator for ultra-low precision training and inference</t>
  </si>
  <si>
    <t>10.1109/ISCA52012.2021.00021</t>
  </si>
  <si>
    <t>Synthesizing Brain-network-inspired Interconnections for Large-scale Network-on-chips</t>
  </si>
  <si>
    <t>10.1145/3480961</t>
  </si>
  <si>
    <t>ELSA: hardware-software co-design for efficient, lightweight self-attention mechanism in neural networks</t>
  </si>
  <si>
    <t>10.1109/ISCA52012.2021.00060</t>
  </si>
  <si>
    <t>Challenges in Firmware Re-Hosting, Emulation, and Analysis</t>
  </si>
  <si>
    <t>10.1145/3423167</t>
  </si>
  <si>
    <t>Rhythmic pixel regions: multi-resolution visual sensing system towards high-precision visual computing at low power</t>
  </si>
  <si>
    <t>10.1145/3445814.3446737</t>
  </si>
  <si>
    <t>Machine learning integrated pseudo-3-D flow for monolithic 3-D ICs</t>
  </si>
  <si>
    <t>IEEE Journal on Exploratory Solid-State Computational Devices and Circuits</t>
  </si>
  <si>
    <t>10.1109/JXCDC.2021.3095104</t>
  </si>
  <si>
    <t>METRICS2.1 and Flow Tuning in the IEEE CEDA Robust Design Flow and OpenROAD ICCAD Special Session Paper,</t>
  </si>
  <si>
    <t>2021 IEEE/ACM International Conference On Computer Aided Design (ICCAD)</t>
  </si>
  <si>
    <t>10.1109/ICCAD51958.2021.9643541</t>
  </si>
  <si>
    <t>Bias Busters: Robustifying DL-Based Lithographic Hotspot Detectors against Backdooring Attacks</t>
  </si>
  <si>
    <t>10.1109/TCAD.2020.3033749</t>
  </si>
  <si>
    <t>Deep Learning Autoencoder-based Compression for Current Source Model Waveforms,</t>
  </si>
  <si>
    <t>2021 28th IEEE International Conference on Electronics</t>
  </si>
  <si>
    <t>10.1109/ICECS53924.2021.9665573</t>
  </si>
  <si>
    <t>Modeling Multiple-Input Switching in Timing Analysis Using Machine Learning,</t>
  </si>
  <si>
    <t>10.1109/TCAD.2020.3009624</t>
  </si>
  <si>
    <t>A Novel ML Augmented DRC Framework for Identification of Yield Detractor Patterns,</t>
  </si>
  <si>
    <t>IEEE Transactions on Semiconductor Manufacturing</t>
  </si>
  <si>
    <t>10.1109/TSM.2021.3083973</t>
  </si>
  <si>
    <t>High-Throughput Dynamic Time Warping Accelerator for Time-Series Classification With Pipelined Mixed-Signal Time-Domain Computing,</t>
  </si>
  <si>
    <t>IEEE Journal of Solid-State Circuits</t>
  </si>
  <si>
    <t>10.1109/JSSC.2020.3021066</t>
  </si>
  <si>
    <t>Training Data Poisoning in ML-CAD: Backdooring DL-Based Lithographic Hotspot Detectors,</t>
  </si>
  <si>
    <t>10.1109/TCAD.2020.3024780</t>
  </si>
  <si>
    <t>Deep Learning Analysis for Split-Manufactured Layouts With Routing Perturbation,</t>
  </si>
  <si>
    <t>10.1109/TCAD.2020.3037297</t>
  </si>
  <si>
    <t>Enhancing Performance of Gabriel Graph-Based Classifiers by a Hardware Co-Processor for Embedded System Applications</t>
  </si>
  <si>
    <t>IEEE Transactions on Industrial Informatics</t>
  </si>
  <si>
    <t>10.1109/TII.2020.2987329</t>
  </si>
  <si>
    <t>GNN4TJ: Graph Neural Networks for Hardware Trojan Detection at Register Transfer Level,</t>
  </si>
  <si>
    <t>2021 Design</t>
  </si>
  <si>
    <t>10.23919/DATE51398.2021.9474174</t>
  </si>
  <si>
    <t>A Data-Driven Asynchronous Neural Network Accelerator,</t>
  </si>
  <si>
    <t>10.1109/TCAD.2020.3025508</t>
  </si>
  <si>
    <t>Thwarting All Logic Locking Attacks: Dishonest Oracle With Truly Random Logic Locking,</t>
  </si>
  <si>
    <t>10.1109/TCAD.2020.3029133</t>
  </si>
  <si>
    <t>Board-Level Functional Fault Identification Using Streaming Data,</t>
  </si>
  <si>
    <t>10.1109/TCAD.2020.3031865</t>
  </si>
  <si>
    <t>An Overview of Hardware Security and Trust: Threats, Countermeasures, and Design Tools,</t>
  </si>
  <si>
    <t>10.1109/TCAD.2020.3047976</t>
  </si>
  <si>
    <t>Hard-ODT: Hardware-Friendly Online Decision Tree Learning Algorithm and System,</t>
  </si>
  <si>
    <t>10.1109/TCAD.2020.3043328</t>
  </si>
  <si>
    <t>Evaluating Neural Network-Inspired Analog-to-Digital Conversion With Low-Precision RRAM,</t>
  </si>
  <si>
    <t>10.1109/TCAD.2020.3013563</t>
  </si>
  <si>
    <t>Advanced Equivalence Checking for Quantum Circuits,</t>
  </si>
  <si>
    <t>10.1109/TCAD.2020.3032630</t>
  </si>
  <si>
    <t>DESCNet: Developing Efficient Scratchpad Memories for Capsule Network Hardware,</t>
  </si>
  <si>
    <t>10.1109/TCAD.2020.3030610</t>
  </si>
  <si>
    <t>Collective knowledge: Organizing research projects as a database of reusable components and portable workflows with common interfaces</t>
  </si>
  <si>
    <t>Philosophical Transactions of the Royal Society A: Mathematical, Physical and Engineering Sciences</t>
  </si>
  <si>
    <t>10.1098/rsta.2020.0211</t>
  </si>
  <si>
    <t>2L-3W: 2-Level 3-Way HardwareÃ¢Â€Â“Software Co-verification for the Mapping of Convolutional Neural Network (CNN) onto FPGA Boards</t>
  </si>
  <si>
    <t>SN Computer Science</t>
  </si>
  <si>
    <t>10.1007/s42979-021-00954-5</t>
  </si>
  <si>
    <t>Real-time low-power binocular stereo vision based on FPGA</t>
  </si>
  <si>
    <t>10.1007/s11554-021-01158-z</t>
  </si>
  <si>
    <t>Leveraging Deep Learning and IoT for Monitoring COVID19 Safety Guidelines Within College Campus</t>
  </si>
  <si>
    <t>Advanced Computing</t>
  </si>
  <si>
    <t>10.1007/978-981-16-0401-0_3</t>
  </si>
  <si>
    <t>A Survey of Algorithmic and Hardware Optimization Techniques for Vision Convolutional Neural Networks on FPGAs</t>
  </si>
  <si>
    <t>10.1007/s11063-021-10458-1</t>
  </si>
  <si>
    <t>Advanced virtual prototyping for cyber-physical systems using RISC-V: implementation, verification and challenges</t>
  </si>
  <si>
    <t>10.1007/s11432-020-3308-4</t>
  </si>
  <si>
    <t>A natively flexible 32-bit Arm microprocessor</t>
  </si>
  <si>
    <t>10.1038/s41586-021-03625-w</t>
  </si>
  <si>
    <t>The TaPaSCo Open-Source Toolflow</t>
  </si>
  <si>
    <t>10.1007/s11265-021-01640-8</t>
  </si>
  <si>
    <t>A graph placement methodology for fast chip design</t>
  </si>
  <si>
    <t>10.1038/s41586-021-03544-w</t>
  </si>
  <si>
    <t>Deep neural networks for quantum circuit mapping</t>
  </si>
  <si>
    <t>10.1007/s00521-021-06009-3</t>
  </si>
  <si>
    <t>Real-time embedded object detection and tracking system in Zynq SoC</t>
  </si>
  <si>
    <t>EURASIP Journal on Image and Video Processing</t>
  </si>
  <si>
    <t>10.1186/s13640-021-00561-7</t>
  </si>
  <si>
    <t>Recent progress of integrated circuits and optoelectronic chips</t>
  </si>
  <si>
    <t>10.1007/s11432-021-3235-7</t>
  </si>
  <si>
    <t>Resource-constrained FPGA/DNN co-design</t>
  </si>
  <si>
    <t>10.1007/s00521-021-06113-4</t>
  </si>
  <si>
    <t>Certified DQBF Solving by Definition Extraction</t>
  </si>
  <si>
    <t>Theory and Applications of Satisfiability Testing Ã¢Â€Â“ SAT 2021</t>
  </si>
  <si>
    <t>10.1007/978-3-030-80223-3_34</t>
  </si>
  <si>
    <t>Adaptive sampling with automatic stopping for feasible region identification in engineering design</t>
  </si>
  <si>
    <t>Engineering with Computers</t>
  </si>
  <si>
    <t>10.1007/s00366-021-01341-7</t>
  </si>
  <si>
    <t>A semi-transparent selective undo algorithm for multi-user collaborative editors</t>
  </si>
  <si>
    <t>10.1007/s11704-020-9518-x</t>
  </si>
  <si>
    <t>Micro-architectural analysis of in-memory OLTP: Revisited</t>
  </si>
  <si>
    <t>The VLDB Journal</t>
  </si>
  <si>
    <t>10.1007/s00778-021-00663-8</t>
  </si>
  <si>
    <t>The Seattle Report on Database Research</t>
  </si>
  <si>
    <t>10.1145/3385658.3385668</t>
  </si>
  <si>
    <t>Re-examining VLSI manufacturing and yield through the lens of deep learning</t>
  </si>
  <si>
    <t>Proceedings of the 39th International Conference on Computer-Aided Design</t>
  </si>
  <si>
    <t>10.1145/3400302.3415779</t>
  </si>
  <si>
    <t>Understanding Graphs in EDA: From Shallow to Deep Learning</t>
  </si>
  <si>
    <t>Proceedings of the 2020 International Symposium on Physical Design</t>
  </si>
  <si>
    <t>10.1145/3372780.3378173</t>
  </si>
  <si>
    <t>Cost Estimation for Configurable Model-Driven SoC Designs Using Machine Learning</t>
  </si>
  <si>
    <t>Proceedings of the 2020 on Great Lakes Symposium on VLSI</t>
  </si>
  <si>
    <t>10.1145/3386263.3406950</t>
  </si>
  <si>
    <t>Investigating the Inherent Soft Error Resilience of Embedded Applications by Full-System Simulation</t>
  </si>
  <si>
    <t>Proceedings of the 25th Asia and South Pacific Design Automation Conference</t>
  </si>
  <si>
    <t>10.1109/ASP-DAC47756.2020.9045132</t>
  </si>
  <si>
    <t>Building OpenLANE: a 130nm openroad-based tapeout-proven flow</t>
  </si>
  <si>
    <t>10.1145/3400302.3415735</t>
  </si>
  <si>
    <t>Agile SoC development with open ESP</t>
  </si>
  <si>
    <t>10.1145/3400302.3415753</t>
  </si>
  <si>
    <t>The missing pieces of open design enablement: a recent history of google efforts</t>
  </si>
  <si>
    <t>10.1145/3400302.3415736</t>
  </si>
  <si>
    <t>SuSy: a programming model for productive construction of high-performance systolic arrays on FPGAs</t>
  </si>
  <si>
    <t>10.1145/3400302.3415644</t>
  </si>
  <si>
    <t>Creating Hardware Component Knowledge Bases with Training Data Generation and Multi-task Learning</t>
  </si>
  <si>
    <t>10.1145/3391906</t>
  </si>
  <si>
    <t>A Hypervisor for Shared-Memory FPGA Platforms</t>
  </si>
  <si>
    <t>Proceedings of the Twenty-Fifth International Conference on Architectural Support for Programming Languages and Operating Systems</t>
  </si>
  <si>
    <t>10.1145/3373376.3378482</t>
  </si>
  <si>
    <t>Sparse-TPU: adapting systolic arrays for sparse matrices</t>
  </si>
  <si>
    <t>Proceedings of the 34th ACM International Conference on Supercomputing</t>
  </si>
  <si>
    <t>10.1145/3392717.3392751</t>
  </si>
  <si>
    <t>FlowTune: practical multi-armed bandits in boolean optimization</t>
  </si>
  <si>
    <t>10.1145/3400302.3415615</t>
  </si>
  <si>
    <t>Tools for Reduced Precision Computation: A Survey</t>
  </si>
  <si>
    <t>10.1145/3381039</t>
  </si>
  <si>
    <t>Accelerating Chip Design With Machine Learning,</t>
  </si>
  <si>
    <t>10.1109/MM.2020.3026231</t>
  </si>
  <si>
    <t>Cell library characterization using machine learning for design technology co-optimization</t>
  </si>
  <si>
    <t>10.1145/3400302.3415713</t>
  </si>
  <si>
    <t>A Vector-Length Agnostic Compiler for the Connex-S Accelerator with Scratchpad Memory</t>
  </si>
  <si>
    <t>10.1145/3406536</t>
  </si>
  <si>
    <t>DATC RDF-2020: strengthening the foundation for academic research in IC physical design</t>
  </si>
  <si>
    <t>10.1145/3400302.3415742</t>
  </si>
  <si>
    <t>Trust Issues in COTS: The Challenges and Emerging Solution</t>
  </si>
  <si>
    <t>10.1145/3386263.3407654</t>
  </si>
  <si>
    <t>MLPerf inference benchmark</t>
  </si>
  <si>
    <t>Proceedings of the ACM/IEEE 47th Annual International Symposium on Computer Architecture</t>
  </si>
  <si>
    <t>10.1109/ISCA45697.2020.00045</t>
  </si>
  <si>
    <t>High-Definition Routing Congestion Prediction for Large-Scale FPGAs</t>
  </si>
  <si>
    <t>10.1109/ASP-DAC47756.2020.9045178</t>
  </si>
  <si>
    <t>Effective Algorithm-Accelerator Co-design for AI Solutions on Edge Devices</t>
  </si>
  <si>
    <t>10.1145/3386263.3406956</t>
  </si>
  <si>
    <t>CEPA: CNN-based early performance assertion scheme for analog and mixed-signal circuit simulation</t>
  </si>
  <si>
    <t>10.1145/3400302.3415686</t>
  </si>
  <si>
    <t>SparseTrain: Leveraging Dynamic Sparsity in Software for Training DNNs on General-Purpose SIMD Processors</t>
  </si>
  <si>
    <t>Proceedings of the ACM International Conference on Parallel Architectures and Compilation Techniques</t>
  </si>
  <si>
    <t>10.1145/3410463.3414655</t>
  </si>
  <si>
    <t>VTR 8: High-performance CAD and Customizable FPGA Architecture Modelling</t>
  </si>
  <si>
    <t>10.1145/3388617</t>
  </si>
  <si>
    <t>Polymorphic Blocks: Unifying High-level Specification and Low-level Control for Circuit Board Design</t>
  </si>
  <si>
    <t>Proceedings of the 33rd Annual ACM Symposium on User Interface Software and Technology</t>
  </si>
  <si>
    <t>10.1145/3379337.3415860</t>
  </si>
  <si>
    <t>Characterization and identification of HPC applications at leadership computing facility</t>
  </si>
  <si>
    <t>10.1145/3392717.3392774</t>
  </si>
  <si>
    <t>A specialized architecture for object serialization with applications to big data analytics</t>
  </si>
  <si>
    <t>10.1109/ISCA45697.2020.00036</t>
  </si>
  <si>
    <t>PREASC: Automatic Portion Resilience Evaluation for Approximating SystemC-based Designs Using Regression Analysis Techniques</t>
  </si>
  <si>
    <t>10.1145/3388140</t>
  </si>
  <si>
    <t>Massively Simulating Adiabatic Bifurcations with FPGA to Solve Combinatorial Optimization</t>
  </si>
  <si>
    <t>Proceedings of the 2020 ACM/SIGDA International Symposium on Field-Programmable Gate Arrays</t>
  </si>
  <si>
    <t>10.1145/3373087.3375298</t>
  </si>
  <si>
    <t>MEG: A RISCV-based System Emulation Infrastructure for Near-data Processing Using FPGAs and High-bandwidth Memory</t>
  </si>
  <si>
    <t>10.1145/3409114</t>
  </si>
  <si>
    <t>Efficiently supporting dynamic task parallelism on heterogeneous cache-coherent systems</t>
  </si>
  <si>
    <t>10.1109/ISCA45697.2020.00025</t>
  </si>
  <si>
    <t>Improving Performance and Energy Consumption in Embedded Systems via Binary Acceleration: A Survey</t>
  </si>
  <si>
    <t>10.1145/3369764</t>
  </si>
  <si>
    <t>Multi-core Devices for Safety-critical Systems: A Survey</t>
  </si>
  <si>
    <t>10.1145/3398665</t>
  </si>
  <si>
    <t>Why GPUs are Slow at Executing NFAs and How to Make them Faster</t>
  </si>
  <si>
    <t>10.1145/3373376.3378471</t>
  </si>
  <si>
    <t>Communication-Efficient Distributed Deep Learning with GPU-FPGA Heterogeneous Computing,</t>
  </si>
  <si>
    <t>2020 IEEE Symposium on High-Performance Interconnects (HOTI)</t>
  </si>
  <si>
    <t>10.1109/HOTI51249.2020.00021</t>
  </si>
  <si>
    <t>Automating Design For Yield: Silicon Learning to Predictive Models and Design Optimization,</t>
  </si>
  <si>
    <t>2020 IEEE International Test Conference (ITC)</t>
  </si>
  <si>
    <t>10.1109/ITC44778.2020.9325263</t>
  </si>
  <si>
    <t>A Fast Design Space Exploration Framework for the Deep Learning Accelerators: Work-in-Progress</t>
  </si>
  <si>
    <t>Proceedings of the 2020 International Conference on Hardware/Software Codesign and System Synthesis, CODES+ISSS 2020</t>
  </si>
  <si>
    <t>10.1109/CODESISSS51650.2020.9244038</t>
  </si>
  <si>
    <t>MacLeR: Machine Learning-Based Runtime Hardware Trojan Detection in Resource-Constrained IoT Edge Devices,</t>
  </si>
  <si>
    <t>10.1109/TCAD.2020.3012236</t>
  </si>
  <si>
    <t>OpenCGRA: An Open-Source Unified Framework for Modeling, Testing, and Evaluating CGRAs,</t>
  </si>
  <si>
    <t>2020 IEEE 38th International Conference on Computer Design (ICCD)</t>
  </si>
  <si>
    <t>10.1109/ICCD50377.2020.00070</t>
  </si>
  <si>
    <t>Scalable and Versatile Design Guidance Tool for the ESD Robustness of Integrated Circuits - Part I,</t>
  </si>
  <si>
    <t>10.1109/TCAD.2019.2962120</t>
  </si>
  <si>
    <t>SRAF Insertion via Supervised Dictionary Learning,</t>
  </si>
  <si>
    <t>10.1109/TCAD.2019.2943568</t>
  </si>
  <si>
    <t>DNNVM: End-to-End Compiler Leveraging Heterogeneous Optimizations on FPGA-Based CNN Accelerators,</t>
  </si>
  <si>
    <t>10.1109/TCAD.2019.2930577</t>
  </si>
  <si>
    <t>Data Reuse for Accelerated Approximate Warps,</t>
  </si>
  <si>
    <t>10.1109/TCAD.2020.2986128</t>
  </si>
  <si>
    <t>Reinforcement Learning Driven Physical Synthesis : (Invited Paper),</t>
  </si>
  <si>
    <t>2020 IEEE 15th International Conference on Solid-State &amp; Integrated Circuit Technology (ICSICT)</t>
  </si>
  <si>
    <t>10.1109/ICSICT49897.2020.9278350</t>
  </si>
  <si>
    <t>Scalable and Versatile Design Guidance Tool for the ESD Robustness of Integrated CircuitsÃ¢Â€Â”Part II,</t>
  </si>
  <si>
    <t>10.1109/TCAD.2019.2962119</t>
  </si>
  <si>
    <t>A Novel FPGA Accelerator Design for Real-Time and Ultra-Low Power Deep Convolutional Neural Networks Compared With Titan X GPU,</t>
  </si>
  <si>
    <t>10.1109/ACCESS.2020.3000009</t>
  </si>
  <si>
    <t>SemiMap: A Semi-Folded Convolution Mapping for Speed-Overhead Balance on Crossbars,</t>
  </si>
  <si>
    <t>10.1109/TCAD.2018.2883959</t>
  </si>
  <si>
    <t>Balancing Computation Loads and Optimizing Input Vector Loading in LSTM Accelerators,</t>
  </si>
  <si>
    <t>10.1109/TCAD.2019.2926482</t>
  </si>
  <si>
    <t>mNet2FPGA: A design flow for mapping a fixed-point CNN to Zynq SoC FPGA</t>
  </si>
  <si>
    <t>10.3390/electronics9111823</t>
  </si>
  <si>
    <t>Neuro-inspired computing chips</t>
  </si>
  <si>
    <t>10.1038/s41928-020-0435-7</t>
  </si>
  <si>
    <t>Data acquisition and control at the edge: a hardware/software-reconfigurable approach</t>
  </si>
  <si>
    <t>Production Engineering</t>
  </si>
  <si>
    <t>10.1007/s11740-020-00964-x</t>
  </si>
  <si>
    <t>Hardware design and the competency awareness of a neural network</t>
  </si>
  <si>
    <t>10.1038/s41928-020-00476-7</t>
  </si>
  <si>
    <t>FPGA implementation of HOOFR bucketing extractor-based real-time embedded SLAM applications</t>
  </si>
  <si>
    <t>10.1007/s11554-020-00986-9</t>
  </si>
  <si>
    <t>Multicore Performance Prediction with MPET</t>
  </si>
  <si>
    <t>10.1007/s11265-020-01563-w</t>
  </si>
  <si>
    <t>Bayesian network for integrated circuit testing probe card fault diagnosis and troubleshooting to empower Industry 3.5 smart production and an empirical study</t>
  </si>
  <si>
    <t>Journal of Intelligent Manufacturing</t>
  </si>
  <si>
    <t>10.1007/s10845-020-01680-0</t>
  </si>
  <si>
    <t>FPGA Implementations of SVM Classifiers: A Review</t>
  </si>
  <si>
    <t>10.1007/s42979-020-00128-9</t>
  </si>
  <si>
    <t>An FPGA-Based Accelerated Optimization Algorithm for Real-Time Applications</t>
  </si>
  <si>
    <t>10.1007/s11265-020-01522-5</t>
  </si>
  <si>
    <t>Human ownership of artificial creativity</t>
  </si>
  <si>
    <t>Nature Machine Intelligence</t>
  </si>
  <si>
    <t>10.1038/s42256-020-0161-x</t>
  </si>
  <si>
    <t>Hardware-software implementation of HEVC decoder on Zynq</t>
  </si>
  <si>
    <t>10.1007/s11042-019-08548-3</t>
  </si>
  <si>
    <t>2020 Virtual Scientific Session of the Society of American Gastrointestinal and Endoscopic Surgeons (SAGES), 11Ã¢Â€Â“13 August 2020</t>
  </si>
  <si>
    <t>Surgical Endoscopy</t>
  </si>
  <si>
    <t>10.1007/s00464-020-07976-9</t>
  </si>
  <si>
    <t>XPPE: cross-platform performance estimation of hardware accelerators using machine learning</t>
  </si>
  <si>
    <t>Proceedings of the 24th Asia and South Pacific Design Automation Conference</t>
  </si>
  <si>
    <t>10.1145/3287624.3288756</t>
  </si>
  <si>
    <t>Taming extreme heterogeneity via machine learning based design of autonomous manycore systems</t>
  </si>
  <si>
    <t>Proceedings of the International Conference on Hardware/Software Codesign and System Synthesis Companion</t>
  </si>
  <si>
    <t>10.1145/3349567.3357376</t>
  </si>
  <si>
    <t>Hierarchical Ensemble Reduction and Learning for Resource-constrained Computing</t>
  </si>
  <si>
    <t>10.1145/3365224</t>
  </si>
  <si>
    <t>Automating the generation of hardware component knowledge bases</t>
  </si>
  <si>
    <t>Proceedings of the 20th ACM SIGPLAN/SIGBED International Conference on Languages, Compilers, and Tools for Embedded Systems</t>
  </si>
  <si>
    <t>10.1145/3316482.3326344</t>
  </si>
  <si>
    <t>From Electronic Design Automation to Cyber-Physical System Design Automation: A Tale of Platforms and Contracts</t>
  </si>
  <si>
    <t>Proceedings of the 2019 International Symposium on Physical Design</t>
  </si>
  <si>
    <t>10.1145/3299902.3311070</t>
  </si>
  <si>
    <t>A concept of a hardware design environment with the functional language elixir: work-in-progress</t>
  </si>
  <si>
    <t>10.1145/3349567.3351715</t>
  </si>
  <si>
    <t>QuTiBench: Benchmarking Neural Networks on Heterogeneous Hardware</t>
  </si>
  <si>
    <t>10.1145/3358700</t>
  </si>
  <si>
    <t>Packing Sparse Convolutional Neural Networks for Efficient Systolic Array Implementations: Column Combining Under Joint Optimization</t>
  </si>
  <si>
    <t>Proceedings of the Twenty-Fourth International Conference on Architectural Support for Programming Languages and Operating Systems</t>
  </si>
  <si>
    <t>10.1145/3297858.3304028</t>
  </si>
  <si>
    <t>Efficient Tracing Methodology Using Automata Processor</t>
  </si>
  <si>
    <t>10.1145/3358200</t>
  </si>
  <si>
    <t>AuthCropper: Authenticated Image Cropper for Privacy Preserving Surveillance Systems</t>
  </si>
  <si>
    <t>10.1145/3358195</t>
  </si>
  <si>
    <t>HESSLE-FREE: Heterogeneous Systems Leveraging Fuzzy Control for Runtime Resource Management</t>
  </si>
  <si>
    <t>10.1145/3358203</t>
  </si>
  <si>
    <t>Heterogeneous Scheduling of Deep Neural Networks for Low-power Real-time Designs</t>
  </si>
  <si>
    <t>10.1145/3358699</t>
  </si>
  <si>
    <t>Unified Testing and Security Framework for Wireless Network-on-Chip Enabled Multi-Core Chips</t>
  </si>
  <si>
    <t>10.1145/3358212</t>
  </si>
  <si>
    <t>Full-stack optimization for accelerating CNNs using powers-of-two weights with FPGA validation</t>
  </si>
  <si>
    <t>Proceedings of the ACM International Conference on Supercomputing</t>
  </si>
  <si>
    <t>10.1145/3330345.3330385</t>
  </si>
  <si>
    <t>Towards General Purpose Acceleration by Exploiting Common Data-Dependence Forms</t>
  </si>
  <si>
    <t>Proceedings of the 52nd Annual IEEE/ACM International Symposium on Microarchitecture</t>
  </si>
  <si>
    <t>10.1145/3352460.3358276</t>
  </si>
  <si>
    <t>F5-HD: Fast Flexible FPGA-based Framework for Refreshing Hyperdimensional Computing</t>
  </si>
  <si>
    <t>Proceedings of the 2019 ACM/SIGDA International Symposium on Field-Programmable Gate Arrays</t>
  </si>
  <si>
    <t>10.1145/3289602.3293913</t>
  </si>
  <si>
    <t>MobiSR: Efficient On-Device Super-Resolution through Heterogeneous Mobile Processors</t>
  </si>
  <si>
    <t>The 25th Annual International Conference on Mobile Computing and Networking</t>
  </si>
  <si>
    <t>10.1145/3300061.3345455</t>
  </si>
  <si>
    <t>[DL] A Survey of FPGA-based Neural Network Inference Accelerators</t>
  </si>
  <si>
    <t>10.1145/3289185</t>
  </si>
  <si>
    <t>A Survey on Agent-based Simulation Using Hardware Accelerators</t>
  </si>
  <si>
    <t>10.1145/3291048</t>
  </si>
  <si>
    <t>Comprehensive Analytic Performance Assessment and K-means based Multicast Routing Algorithm and Architecture for 3D-NoC of Spiking Neurons</t>
  </si>
  <si>
    <t>10.1145/3340963</t>
  </si>
  <si>
    <t>MxU: Towards Predictable, Flexible, and Efficient Memory Access Control for the Secure IoT</t>
  </si>
  <si>
    <t>10.1145/3358224</t>
  </si>
  <si>
    <t>AxMemo: hardware-compiler co-design for approximate code memoization</t>
  </si>
  <si>
    <t>Proceedings of the 46th International Symposium on Computer Architecture</t>
  </si>
  <si>
    <t>10.1145/3307650.3322215</t>
  </si>
  <si>
    <t>Synergy: An HW/SW Framework for High Throughput CNNs on Embedded Heterogeneous SoC</t>
  </si>
  <si>
    <t>10.1145/3301278</t>
  </si>
  <si>
    <t>Machine learning applications and opportunities in IC design flow</t>
  </si>
  <si>
    <t>2019 International Symposium on VLSI Design, Automation and Test, VLSI-DAT 2019</t>
  </si>
  <si>
    <t>10.1109/VLSI-DAT.2019.8742073</t>
  </si>
  <si>
    <t>Hardware-Software Codesign of Histogram of Oriented Gradients on Heterogeneous Computing Platform,</t>
  </si>
  <si>
    <t>2019 International Conference on Machine Learning and Cybernetics (ICMLC)</t>
  </si>
  <si>
    <t>10.1109/ICMLC48188.2019.8949276</t>
  </si>
  <si>
    <t>Position Paper: Extending Codelet Model for Dataflow Software Pipelining using Software-Hardware Co-Design,</t>
  </si>
  <si>
    <t>2019 IEEE 43rd Annual Computer Software and Applications Conference (COMPSAC)</t>
  </si>
  <si>
    <t>10.1109/COMPSAC.2019.10280</t>
  </si>
  <si>
    <t>Cross-Layer Optimization for High Speed Adders: A Pareto Driven Machine Learning Approach</t>
  </si>
  <si>
    <t>10.1109/TCAD.2018.2878129</t>
  </si>
  <si>
    <t>Design of an Always-On Deep Neural Network-Based 1- $\mu$ W Voice Activity Detector Aided With a Customized Software Model for Analog Feature Extraction,</t>
  </si>
  <si>
    <t>10.1109/JSSC.2019.2894360</t>
  </si>
  <si>
    <t>System-on-a-Chip (SoC)-Based Hardware Acceleration for an Online Sequential Extreme Learning Machine (OS-ELM),</t>
  </si>
  <si>
    <t>10.1109/TCAD.2018.2878162</t>
  </si>
  <si>
    <t>Routability-Driven Macro Placement with Embedded CNN-Based Prediction Model,</t>
  </si>
  <si>
    <t>2019 Design</t>
  </si>
  <si>
    <t>10.23919/DATE.2019.8715126</t>
  </si>
  <si>
    <t>An Ensemble Learning Approach for In-Situ Monitoring of FPGA Dynamic Power,</t>
  </si>
  <si>
    <t>10.1109/TCAD.2018.2859248</t>
  </si>
  <si>
    <t>An efficient and adaptable multimedia system for converting PAL to VGA in real-time video processing</t>
  </si>
  <si>
    <t>10.1007/s11554-019-00889-4</t>
  </si>
  <si>
    <t>Implementation of DNNs on IoT devices</t>
  </si>
  <si>
    <t>10.1007/s00521-019-04550-w</t>
  </si>
  <si>
    <t>Machine Learning Applications in Physical Design: Recent Results and Directions</t>
  </si>
  <si>
    <t>Proceedings of the 2018 International Symposium on Physical Design</t>
  </si>
  <si>
    <t>10.1145/3177540.3177554</t>
  </si>
  <si>
    <t>EXTRA: an open platform for reconfigurable architectures</t>
  </si>
  <si>
    <t>Proceedings of the 18th International Conference on Embedded Computer Systems: Architectures, Modeling, and Simulation</t>
  </si>
  <si>
    <t>10.1145/3229631.3236092</t>
  </si>
  <si>
    <t>DNNBuilder: an automated tool for building high-performance DNN hardware accelerators for FPGAs</t>
  </si>
  <si>
    <t>Proceedings of the International Conference on Computer-Aided Design</t>
  </si>
  <si>
    <t>10.1145/3240765.3240801</t>
  </si>
  <si>
    <t>Toolflows for Mapping Convolutional Neural Networks on FPGAs: A Survey and Future Directions</t>
  </si>
  <si>
    <t>10.1145/3186332</t>
  </si>
  <si>
    <t>Emerging reconfigurable nanotechnologies: can they support future electronics?</t>
  </si>
  <si>
    <t>10.1145/3240765.3243472</t>
  </si>
  <si>
    <t>Memristor-CMOS Analog Coprocessor for Acceleration of High-Performance Computing Applications</t>
  </si>
  <si>
    <t>10.1145/3269985</t>
  </si>
  <si>
    <t>A new generic HLS approach for heterogeneous computing: on the feasibility of high-level synthesis in HSA-compatible systems</t>
  </si>
  <si>
    <t>10.1145/3229631.3229634</t>
  </si>
  <si>
    <t>Scaling datacenter accelerators with compute-reuse architectures</t>
  </si>
  <si>
    <t>Proceedings of the 45th Annual International Symposium on Computer Architecture</t>
  </si>
  <si>
    <t>10.1109/ISCA.2018.00038</t>
  </si>
  <si>
    <t>Design Space Exploration of 3D Network-on-Chip: A Sensitivity-based Optimization Approach</t>
  </si>
  <si>
    <t>10.1145/3197567</t>
  </si>
  <si>
    <t>Architectural considerations for FPGA acceleration of machine learning applications in MapReduce</t>
  </si>
  <si>
    <t>10.1145/3229631.3229639</t>
  </si>
  <si>
    <t>Idocchip - A configurable hardware architecture for historical document image processing: Percentile based binarization</t>
  </si>
  <si>
    <t>Proceedings of the ACM Symposium on Document Engineering 2018, DocEng 2018</t>
  </si>
  <si>
    <t>10.1145/3209280.3209538</t>
  </si>
  <si>
    <t>Firesim: FPGA-accelerated cycle-exact scale-out system simulation in the public cloud</t>
  </si>
  <si>
    <t>10.1109/ISCA.2018.00014</t>
  </si>
  <si>
    <t>HLSPredict: cross platform performance prediction for FPGA high-level synthesis</t>
  </si>
  <si>
    <t>10.1145/3240765.3264635</t>
  </si>
  <si>
    <t>Morph: flexible acceleration for 3D CNN-based video understanding</t>
  </si>
  <si>
    <t>Proceedings of the 51st Annual IEEE/ACM International Symposium on Microarchitecture</t>
  </si>
  <si>
    <t>10.1109/MICRO.2018.00080</t>
  </si>
  <si>
    <t>CHAMELEON: a dynamically reconfigurable heterogeneous memory system</t>
  </si>
  <si>
    <t>10.1109/MICRO.2018.00050</t>
  </si>
  <si>
    <t>Instruction-Level Abstraction (ILA): A Uniform Specification for System-on-Chip (SoC) Verification</t>
  </si>
  <si>
    <t>10.1145/3282444</t>
  </si>
  <si>
    <t>Automated Synthesis of Streaming Transfer Level Hardware Designs</t>
  </si>
  <si>
    <t>10.1145/3243930</t>
  </si>
  <si>
    <t>Nemesis: Studying Microarchitectural Timing Leaks in Rudimentary CPU Interrupt Logic</t>
  </si>
  <si>
    <t>Proceedings of the 2018 ACM SIGSAC Conference on Computer and Communications Security</t>
  </si>
  <si>
    <t>10.1145/3243734.3243822</t>
  </si>
  <si>
    <t>Opportunities for Machine Learning in Electronic Design Automation,</t>
  </si>
  <si>
    <t>2018 IEEE International Symposium on Circuits and Systems (ISCAS)</t>
  </si>
  <si>
    <t>10.1109/ISCAS.2018.8351731</t>
  </si>
  <si>
    <t>Applied Machine Learning at Facebook: A Datacenter Infrastructure Perspective</t>
  </si>
  <si>
    <t>Proceedings - International Symposium on High-Performance Computer Architecture</t>
  </si>
  <si>
    <t>10.1109/HPCA.2018.00059</t>
  </si>
  <si>
    <t>Inferential Logic: a Machine Learning Inspired Paradigm for Combinational Circuits,</t>
  </si>
  <si>
    <t>2018 IFIP/IEEE International Conference on Very Large Scale Integration (VLSI-SoC)</t>
  </si>
  <si>
    <t>10.1109/VLSI-SoC.2018.8644808</t>
  </si>
  <si>
    <t>B-</t>
  </si>
  <si>
    <t>New directions for learning-based IC design tools and methodologies,</t>
  </si>
  <si>
    <t>2018 23rd Asia and South Pacific Design Automation Conference (ASP-DAC)</t>
  </si>
  <si>
    <t>10.1109/ASPDAC.2018.8297357</t>
  </si>
  <si>
    <t>YodaNN: An Architecture for Ultralow Power Binary-Weight CNN Acceleration,</t>
  </si>
  <si>
    <t>10.1109/TCAD.2017.2682138</t>
  </si>
  <si>
    <t>Online Soft-Error Vulnerability Estimation for Memory Arrays and Logic Cores,</t>
  </si>
  <si>
    <t>10.1109/TCAD.2017.2706558</t>
  </si>
  <si>
    <t>Machine Learning-Based Energy Optimization for Parallel Program Execution on Multicore Chips</t>
  </si>
  <si>
    <t>10.1007/s13369-018-3079-4</t>
  </si>
  <si>
    <t>Application software beyond exascale: challenges and possible trends</t>
  </si>
  <si>
    <t>10.1631/FITEE.1800459</t>
  </si>
  <si>
    <t>Design and development of reverse osmosis (RO) plant status monitoring system for early fault prediction and predictive maintenance</t>
  </si>
  <si>
    <t>Applied Water Science</t>
  </si>
  <si>
    <t>10.1007/s13201-018-0821-8</t>
  </si>
  <si>
    <t>Generalised and Versatile Connected Health Solution on the Zynq SoC</t>
  </si>
  <si>
    <t>Intelligent Systems and Applications</t>
  </si>
  <si>
    <t>10.1007/978-3-319-69266-1_22</t>
  </si>
  <si>
    <t>GPU Performance Estimation using Software Rasterization and Machine Learning</t>
  </si>
  <si>
    <t>10.1145/3126557</t>
  </si>
  <si>
    <t>From a Formalized Parallel Action Language to Its Efficient Code Generation</t>
  </si>
  <si>
    <t>10.1145/2990195</t>
  </si>
  <si>
    <t>The First 25 Years of the FPL Conference: Significant Papers</t>
  </si>
  <si>
    <t>10.1145/2996468</t>
  </si>
  <si>
    <t>Sketching Computation with Stochastic Processing Engines</t>
  </si>
  <si>
    <t>10.1145/3007652</t>
  </si>
  <si>
    <t>Physical Layout after Half a Century: From Back-Board Ordering to Multi-Dimensional Placement and Beyond</t>
  </si>
  <si>
    <t>Proceedings of the 2017 ACM on International Symposium on Physical Design</t>
  </si>
  <si>
    <t>10.1145/3036669.3038251</t>
  </si>
  <si>
    <t>RISE: An Automated Framework for Real-Time Intelligent Video Surveillance on FPGA</t>
  </si>
  <si>
    <t>10.1145/3126549</t>
  </si>
  <si>
    <t>KV-Direct: High-Performance In-Memory Key-Value Store with Programmable NIC</t>
  </si>
  <si>
    <t>Proceedings of the 26th Symposium on Operating Systems Principles</t>
  </si>
  <si>
    <t>10.1145/3132747.3132756</t>
  </si>
  <si>
    <t>SCRATCH: an end-to-end application-aware soft-GPGPU architecture and trimming tool</t>
  </si>
  <si>
    <t>Proceedings of the 50th Annual IEEE/ACM International Symposium on Microarchitecture</t>
  </si>
  <si>
    <t>10.1145/3123939.3123953</t>
  </si>
  <si>
    <t>Optimization and Quality Estimation of Circuit Design via Random Region Covering Method</t>
  </si>
  <si>
    <t>10.1145/3084685</t>
  </si>
  <si>
    <t>Scale-out acceleration for machine learning</t>
  </si>
  <si>
    <t>10.1145/3123939.3123979</t>
  </si>
  <si>
    <t>FPGA-Accelerated Transactional Execution of Graph Workloads</t>
  </si>
  <si>
    <t>Proceedings of the 2017 ACM/SIGDA International Symposium on Field-Programmable Gate Arrays</t>
  </si>
  <si>
    <t>10.1145/3020078.3021743</t>
  </si>
  <si>
    <t>Boosting the Performance of FPGA-based Graph Processor using Hybrid Memory Cube: A Case for Breadth First Search</t>
  </si>
  <si>
    <t>10.1145/3020078.3021737</t>
  </si>
  <si>
    <t>A learning bridge from architectural synthesis to physical design for exploring power efficient high-performance adders</t>
  </si>
  <si>
    <t>Proceedings of the International Symposium on Low Power Electronics and Design</t>
  </si>
  <si>
    <t>10.1109/ISLPED.2017.8009168</t>
  </si>
  <si>
    <t>Power prediction of embedded scalar and vector processor: Challenges and solutions,</t>
  </si>
  <si>
    <t>2017 18th International Symposium on Quality Electronic Design (ISQED)</t>
  </si>
  <si>
    <t>10.1109/ISQED.2017.7918320</t>
  </si>
  <si>
    <t>Generating Routing-Driven Power Distribution Networks With Machine-Learning Technique,</t>
  </si>
  <si>
    <t>10.1109/TCAD.2017.2648842</t>
  </si>
  <si>
    <t>Acceleration by Inline Cache for Memory-Intensive Algorithms on FPGA via High-Level Synthesis,</t>
  </si>
  <si>
    <t>10.1109/ACCESS.2017.2750923</t>
  </si>
  <si>
    <t>Autonomous Context-Based Service Optimization in Mobile Cloud Computing</t>
  </si>
  <si>
    <t>10.1007/s10723-017-9406-2</t>
  </si>
  <si>
    <t>Efficient System-Level Hardware Synthesis of Dataflow Programs Using Shared Memory Based FIFO</t>
  </si>
  <si>
    <t>10.1007/s11265-017-1226-x</t>
  </si>
  <si>
    <t>Predictive communication modeling for HPC applications</t>
  </si>
  <si>
    <t>10.1007/s10586-017-0821-8</t>
  </si>
  <si>
    <t>The State-of-the-Art Trends in Education Strategy for Sustainable Development of the High Performance Computing Ecosystem</t>
  </si>
  <si>
    <t>Supercomputing</t>
  </si>
  <si>
    <t>10.1007/978-3-319-71255-0_40</t>
  </si>
  <si>
    <t>Introducing MoC Drivers for the Integration of Sensor-Actuator Behaviors in Model-Based Design Flows of Embedded Systems</t>
  </si>
  <si>
    <t>Proceedings of the 19th International Workshop on Software and Compilers for Embedded Systems</t>
  </si>
  <si>
    <t>10.1145/2906363.2906368</t>
  </si>
  <si>
    <t>A polyhedral model-based framework for dataflow implementation on FPGA devices of iterative stencil loops</t>
  </si>
  <si>
    <t>Proceedings of the 35th International Conference on Computer-Aided Design</t>
  </si>
  <si>
    <t>10.1145/2966986.2966995</t>
  </si>
  <si>
    <t>Compute Job Memory Recommender System Using Machine Learning</t>
  </si>
  <si>
    <t>Proceedings of the 22nd ACM SIGKDD International Conference on Knowledge Discovery and Data Mining</t>
  </si>
  <si>
    <t>10.1145/2939672.2939717</t>
  </si>
  <si>
    <t>CASH: supporting IaaS customers with a sub-core configurable architecture</t>
  </si>
  <si>
    <t>Proceedings of the 43rd International Symposium on Computer Architecture</t>
  </si>
  <si>
    <t>10.1109/ISCA.2016.65</t>
  </si>
  <si>
    <t>Architecture-Adaptive Code Variant Tuning</t>
  </si>
  <si>
    <t>Proceedings of the Twenty-First International Conference on Architectural Support for Programming Languages and Operating Systems</t>
  </si>
  <si>
    <t>10.1145/2872362.2872411</t>
  </si>
  <si>
    <t>Hardware Trojans: Lessons Learned after One Decade of Research</t>
  </si>
  <si>
    <t>10.1145/2906147</t>
  </si>
  <si>
    <t>Towards statistical guarantees in controlling quality tradeoffs for approximate acceleration</t>
  </si>
  <si>
    <t>10.1109/ISCA.2016.16</t>
  </si>
  <si>
    <t>Building Power Consumption Models from Executable Timed I/O Automata Specifications</t>
  </si>
  <si>
    <t>Proceedings of the 19th International Conference on Hybrid Systems: Computation and Control</t>
  </si>
  <si>
    <t>10.1145/2883817.2883844</t>
  </si>
  <si>
    <t>Bio-inspired heterogeneous architecture for real-time pedestrian detection applications</t>
  </si>
  <si>
    <t>10.1007/s11554-016-0581-3</t>
  </si>
  <si>
    <t>Scalable HPC Job Scheduling and Resource Management in SST</t>
  </si>
  <si>
    <t>Proceedings of the Winter Simulation Conference</t>
  </si>
  <si>
    <t>10.1109/WSC63780.2024.10838714</t>
  </si>
  <si>
    <t>Strengthening the Foundations of Ic Physical Design and Ml Eda Research,</t>
  </si>
  <si>
    <t>10.1145/3676536.3697136</t>
  </si>
  <si>
    <t>AMBEATion: Analog Mixed-Signal Back-End Design Automation with Machine Learning and Artificial Intelligence Techniques</t>
  </si>
  <si>
    <t>Proceedings -Design, Automation and Test in Europe, DATE</t>
  </si>
  <si>
    <t>10.1109/ASDAM63148.2024.10844619</t>
  </si>
  <si>
    <t>CIRCUITNET 2.0: AN ADVANCED DATASET FOR PROMOTING MACHINE LEARNING INNOVATIONS IN REALISTIC CHIP DESIGN ENVIRONMENT</t>
  </si>
  <si>
    <t>12th International Conference on Learning Representations, ICLR 2024</t>
  </si>
  <si>
    <t>Applying GNNs to Timing Estimation at RTL : (Invited Paper),</t>
  </si>
  <si>
    <t>2022 IEEE/ACM International Conference On Computer Aided Design (ICCAD)</t>
  </si>
  <si>
    <t>10.1145/3508352.3561095</t>
  </si>
  <si>
    <t>On Advancing Physical Design using Graph Neural Networks (Invited Paper),</t>
  </si>
  <si>
    <t>OÂ’Clock: Lock the Clock via Clock-gating for SoC IP Protection</t>
  </si>
  <si>
    <t>2022 59th ACM/IEEE Design Automation Conference (DAC)</t>
  </si>
  <si>
    <t>Dynamic Frequency Boosting beyond Critical Path Delay,</t>
  </si>
  <si>
    <t>10.1145/3508352.3549433</t>
  </si>
  <si>
    <t>Automated HW/SW Co-design for Edge AI: State, Challenges and Steps Ahead: Special Session Paper,</t>
  </si>
  <si>
    <t>2021 International Conference on Hardware/Software Codesign and System Synthesis (CODES+ISSS)</t>
  </si>
  <si>
    <t>You only search once: a fast automation framework for single-stage DNN/Accelerator co-design</t>
  </si>
  <si>
    <t>Proceedings of the 23rd Conference on Design, Automation and Test in Europe</t>
  </si>
  <si>
    <t>10.5555/3408352.3408644</t>
  </si>
  <si>
    <t>Low complexity multi-directional in-air ultrasonic gesture recognition using a TCN</t>
  </si>
  <si>
    <t>10.23919/DATE48585.2020.9116482</t>
  </si>
  <si>
    <t>The Missing Pieces of Open Design Enablement: A Recent History of Google Efforts : lnvited Paper,</t>
  </si>
  <si>
    <t>2020 IEEE/ACM International Conference On Computer Aided Design (ICCAD)</t>
  </si>
  <si>
    <t>VLSI Placement Parameter Optimization using Deep Reinforcement Learning,</t>
  </si>
  <si>
    <t>10.1145/3400302.3415690</t>
  </si>
  <si>
    <t>Digital Compatible Synthesis, Placement and Implementation of Mixed-Signal Time-Domain Computing,</t>
  </si>
  <si>
    <t>2019 56th ACM/IEEE Design Automation Conference (DAC)</t>
  </si>
  <si>
    <t>10.1145/3316781.3317800</t>
  </si>
  <si>
    <t>Hardware/software codesign for mathematical function acceleration</t>
  </si>
  <si>
    <t>Proceedings of the 28th Annual International Conference on Computer Science and Software Engineering</t>
  </si>
  <si>
    <t>10.5555/3291291.3291309</t>
  </si>
  <si>
    <t>Dynamic data driven application systems: research challenges and opportunities</t>
  </si>
  <si>
    <t>Proceedings of the 2018 Winter Simulation Conference</t>
  </si>
  <si>
    <t>10.1109/WSC.2018.8632379</t>
  </si>
  <si>
    <t>Machine learning and systems for building the next generation of EDA tools</t>
  </si>
  <si>
    <t>Proceedings of the 23rd Asia and South Pacific Design Automation Conference</t>
  </si>
  <si>
    <t>10.1109/ASPDAC.2018.8297358</t>
  </si>
  <si>
    <t>Hierarchical ensemble learning for resource-aware FPGA computing: work-in-progress</t>
  </si>
  <si>
    <t>10.1109/CODESISSS.2018.8525906</t>
  </si>
  <si>
    <t>Machine learning for engineering</t>
  </si>
  <si>
    <t>10.1109/ASPDAC.2018.8297360</t>
  </si>
  <si>
    <t>Academic/industry educational lab for simulation-based test &amp;amp; evaluation of autonomous vehicles</t>
  </si>
  <si>
    <t>10.1109/WSC.2018.8632548</t>
  </si>
  <si>
    <t>Dtcraft: a distributed execution engine for compute-intensive applications</t>
  </si>
  <si>
    <t>Proceedings of the 36th International Conference on Computer-Aided Design</t>
  </si>
  <si>
    <t>10.1109/ICCAD.2017.8203853</t>
  </si>
  <si>
    <t>A streaming clustering approach using a heterogeneous system for big data analysis</t>
  </si>
  <si>
    <t>10.1109/ICCAD.2017.8203845</t>
  </si>
  <si>
    <t>NEUTRAMS: neural network transformation and co-design under neuromorphic hardware constraints</t>
  </si>
  <si>
    <t>The 49th Annual IEEE/ACM International Symposium on Microarchitecture</t>
  </si>
  <si>
    <t>10.1109/MICRO.2016.7783724</t>
  </si>
  <si>
    <t>Towards Big Data in AI for EDA Research: Generation of New Pseudo Circuits at RTL Stage</t>
  </si>
  <si>
    <t>Book Section</t>
  </si>
  <si>
    <t>10.1145/3658617.3697613</t>
  </si>
  <si>
    <t>other_document_type</t>
  </si>
  <si>
    <t>PPA-Aware Tier Partitioning for 3D IC Placement with ILP Formulation</t>
  </si>
  <si>
    <t>10.1145/3658617.3697733</t>
  </si>
  <si>
    <t>AIPlace: Analog IC Placement with Multi-Task Learning Framework</t>
  </si>
  <si>
    <t>10.1145/3658617.3697703</t>
  </si>
  <si>
    <t>OPL4GPT: An Application Space Exploration of Optimal Programming Language for Hardware Design by LLM</t>
  </si>
  <si>
    <t>10.1145/3658617.3697621</t>
  </si>
  <si>
    <t>Enhancing Human-IDE Interaction in the SDLC using LLM-based Mediator Agents</t>
  </si>
  <si>
    <t>Proceedings of the 33rd ACM International Conference on the Foundations of Software Engineering</t>
  </si>
  <si>
    <t>10.1145/3696630.3728721</t>
  </si>
  <si>
    <t>OpenSource Heterogeneous Chiplet-based Computing Architectures</t>
  </si>
  <si>
    <t>10.1145/3676536.3698874</t>
  </si>
  <si>
    <t>MCUBERT: Memory-Efficient BERT Inference on Commodity Microcontrollers</t>
  </si>
  <si>
    <t>10.1145/3676536.3676747</t>
  </si>
  <si>
    <t>FlexHE: A flexible Kernel Generation Framework for Homomorphic Encryption-Based Private Inference</t>
  </si>
  <si>
    <t>10.1145/3676536.3676739</t>
  </si>
  <si>
    <t>GNNerator: A Hardware/Software Framework for Accelerating Graph Neural Networks</t>
  </si>
  <si>
    <t>Proceedings of the 58th Annual ACM/IEEE Design Automation Conference</t>
  </si>
  <si>
    <t>10.1109/DAC18074.2021.9586122</t>
  </si>
  <si>
    <t>Universal Symmetry Constraint Extraction for Analog and Mixed-Signal Circuits with Graph Neural Networks</t>
  </si>
  <si>
    <t>10.1109/DAC18074.2021.9586211</t>
  </si>
  <si>
    <t>Heterogeneous Confidential Computing System for Large Language Models: A Survey</t>
  </si>
  <si>
    <t>ACM Trans. Archit. Code Optim.</t>
  </si>
  <si>
    <t>10.1145/3779307</t>
  </si>
  <si>
    <t>unclassified</t>
  </si>
  <si>
    <t>Mitigating the Bandwidth Wall via Data-Streaming SystemÃ¢Â€Â“Accelerator Co-Design</t>
  </si>
  <si>
    <t>10.1145/3803551</t>
  </si>
  <si>
    <t>VeriEQ: Finding Verilog Simulators and Synthesizers Bugs with Equivalence Circuit Transformation</t>
  </si>
  <si>
    <t>Proc. ACM Program. Lang.</t>
  </si>
  <si>
    <t>10.1145/3798235</t>
  </si>
  <si>
    <t>MetaÃ¢Â€Â™s Hyperscale Infrastructure: Overview and Insights</t>
  </si>
  <si>
    <t>Commun. ACM</t>
  </si>
  <si>
    <t>10.1145/3701296</t>
  </si>
  <si>
    <t>Extending High-Level Synthesis with AI/ML Methods</t>
  </si>
  <si>
    <t>IEEE/ACM International Conference on Computer-Aided Design, Digest of Technical Papers, ICCAD</t>
  </si>
  <si>
    <t>10.1145/3676536.3689923</t>
  </si>
  <si>
    <t>Ceiba: An Efficient and Scalable DNN Scheduler for Spatial Accelerators</t>
  </si>
  <si>
    <t>10.1145/3715123</t>
  </si>
  <si>
    <t>Anchor First, Accelerate Next: Revolutionizing GNNs with PIM by Harnessing Stationary Data</t>
  </si>
  <si>
    <t>Proceedings of the 62nd Annual ACM/IEEE Design Automation Conference</t>
  </si>
  <si>
    <t>10.1109/DAC63849.2025.11132411</t>
  </si>
  <si>
    <t>Strengthening the Foundations of IC Physical Design and ML EDA Research</t>
  </si>
  <si>
    <t>Multi-Agent Yield Analysis for Circuit Design</t>
  </si>
  <si>
    <t>10.1109/DAC63849.2025.11133334</t>
  </si>
  <si>
    <t>High-Performance Computing Architecture Exploration with Stage-Enhanced Bayesian Optimization</t>
  </si>
  <si>
    <t>10.1109/DAC63849.2025.11132525</t>
  </si>
  <si>
    <t>KLiNQ: Knowledge Distillation-Assisted Lightweight Neural Network for Qubit Readout on FPGA</t>
  </si>
  <si>
    <t>10.1109/DAC63849.2025.11132854</t>
  </si>
  <si>
    <t>GEM: GPU-Accelerated Emulator-Inspired RTL Simulation</t>
  </si>
  <si>
    <t>10.1109/DAC63849.2025.11132713</t>
  </si>
  <si>
    <t>GNN-MLS: Signal Routing in Mixed-Node 3D ICs through GNN-Assisted Metal Layer Sharing</t>
  </si>
  <si>
    <t>10.1109/DAC63849.2025.11132697</t>
  </si>
  <si>
    <t>Empowering Vector Architectures for ML: The CAMP Architecture for Matrix Multiplication</t>
  </si>
  <si>
    <t>Proceedings of the Annual International Symposium on Microarchitecture, MICRO</t>
  </si>
  <si>
    <t>10.1145/3725843.3760547</t>
  </si>
  <si>
    <t>Decoupling Analog Circuit Representation from Technology for Behavior-Centric Optimization</t>
  </si>
  <si>
    <t>10.1109/DAC63849.2025.11133189</t>
  </si>
  <si>
    <t>InsightAlign: A Transferable Physical Design Recipe Recommender Based on Design Insights</t>
  </si>
  <si>
    <t>10.1109/DAC63849.2025.11133146</t>
  </si>
  <si>
    <t>Concurrent Sign-off Timing Optimization via Deep Steiner Points Refinement</t>
  </si>
  <si>
    <t>Proceedings of the 60th Annual ACM/IEEE Design Automation Conference</t>
  </si>
  <si>
    <t>10.1109/DAC56929.2023.10247794</t>
  </si>
  <si>
    <t>Efficient Flexible Edge Inference for Mixed-Precision Quantized DNN using Customized RISC-V Core</t>
  </si>
  <si>
    <t>10.1145/3768630</t>
  </si>
  <si>
    <t>Gem5-AcceSys: Enabling System-Level Exploration of Standard Interconnects for Novel Accelerators</t>
  </si>
  <si>
    <t>10.1109/DAC63849.2025.11133394</t>
  </si>
  <si>
    <t>SDM-PEB: Spatial-Depthwise Mamba for Enhanced Post-Exposure Bake Simulation</t>
  </si>
  <si>
    <t>10.1109/DAC63849.2025.11133153</t>
  </si>
  <si>
    <t>CIMFlow: An Integrated Framework for Systematic Design and Evaluation of Digital CIM Architectures</t>
  </si>
  <si>
    <t>10.1109/DAC63849.2025.11133270</t>
  </si>
  <si>
    <t>Invited Paper: Enhancing Design Automation with Quantum Algorithms for Chip Design</t>
  </si>
  <si>
    <t>10.1109/DAC63849.2025.11133257</t>
  </si>
  <si>
    <t>HTVM: Efficient Neural Network Deployment on Heterogeneous TinyML Platforms</t>
  </si>
  <si>
    <t>10.1109/DAC56929.2023.10247664</t>
  </si>
  <si>
    <t>MOSS: Multi-Modal Representation Learning on Sequential Circuits</t>
  </si>
  <si>
    <t>10.1109/DAC63849.2025.11132437</t>
  </si>
  <si>
    <t>LMM-IR: Large-Scale Netlist-Aware Multimodal Framework for Static IR-Drop Prediction</t>
  </si>
  <si>
    <t>10.1109/DAC63849.2025.11133205</t>
  </si>
  <si>
    <t>DFGAS: Exploring the Balance of HW-SW Scheduling through the DFG-Aware Scheme</t>
  </si>
  <si>
    <t>10.1145/3773768</t>
  </si>
  <si>
    <t>NetTAG: A Multimodal RTL-and-Layout-Aligned Netlist Foundation Model via Text-Attributed Graph</t>
  </si>
  <si>
    <t>10.1109/DAC63849.2025.11133349</t>
  </si>
  <si>
    <t>Invited: Accelerating Genome Analysis via Algorithm-Architecture Co-Design</t>
  </si>
  <si>
    <t>10.1109/DAC56929.2023.10247887</t>
  </si>
  <si>
    <t>AGD: A Learning-Based Optimization Framework for EDA and its Application to Gate Sizing</t>
  </si>
  <si>
    <t>10.1109/DAC56929.2023.10247924</t>
  </si>
  <si>
    <t>Toward Understanding FPGA Synthesis Tool Bugs</t>
  </si>
  <si>
    <t>ACM Trans. Softw. Eng. Methodol.</t>
  </si>
  <si>
    <t>10.1145/3718737</t>
  </si>
  <si>
    <t>GTN-Path: Efficient Path Timing Prediction through Waveform Propagation with Graph Transformer</t>
  </si>
  <si>
    <t>10.1109/DAC63849.2025.11132846</t>
  </si>
  <si>
    <t>ReSMiPS: A ReRAM-Based Sparse Mixed-Precision Solver with Fast Matrix Reordering Algorithm</t>
  </si>
  <si>
    <t>10.1109/DAC63849.2025.11133301</t>
  </si>
  <si>
    <t>Invited: A Scalable Formal Approach for Correctness-Assured Hardware Design</t>
  </si>
  <si>
    <t>10.1109/DAC56929.2023.10247673</t>
  </si>
  <si>
    <t>PARADISE: Criticality-Aware Instruction Reordering for Power Attack Resistance</t>
  </si>
  <si>
    <t>10.1145/3701991</t>
  </si>
  <si>
    <t>OpenDRC: An Efficient Open-Source Design Rule Checking Engine with Hierarchical GPU Acceleration</t>
  </si>
  <si>
    <t>10.1109/DAC56929.2023.10247734</t>
  </si>
  <si>
    <t>ChatLS: Multimodal Retrieval-Augmented Generation and Chain-of-Thought for Logic Synthesis Script Customization</t>
  </si>
  <si>
    <t>10.1109/DAC63849.2025.11132969</t>
  </si>
  <si>
    <t>Gator: Accelerating Graph Attention Networks by Jointly Optimizing Attention and Graph Processing</t>
  </si>
  <si>
    <t>10.1145/3722219</t>
  </si>
  <si>
    <t>Foster the use of Hackathons in Collaborative Research Projects: Methodology, Experience Report and Lesson Learned</t>
  </si>
  <si>
    <t>10.1145/3771552</t>
  </si>
  <si>
    <t>9Ring: A 3D-Stacked Memory-Based Accelerator for Flexible and Efficient Deep CNN Applications</t>
  </si>
  <si>
    <t>10.1145/3732940</t>
  </si>
  <si>
    <t>First-Class Verification Dialects for MLIR</t>
  </si>
  <si>
    <t>10.1145/3729309</t>
  </si>
  <si>
    <t>Logic Optimization Meets SAT: A Novel Framework for Circuit-SAT Solving</t>
  </si>
  <si>
    <t>10.1109/DAC63849.2025.11133310</t>
  </si>
  <si>
    <t>ELF: Efficient Logic Synthesis by Pruning Redundancy in Refactoring</t>
  </si>
  <si>
    <t>10.1109/DAC63849.2025.11132893</t>
  </si>
  <si>
    <t>SaGraph: A Similarity-Aware Hardware Accelerator for Temporal Graph Processing</t>
  </si>
  <si>
    <t>10.1109/DAC56929.2023.10247966</t>
  </si>
  <si>
    <t>Mixed Structural Choice Operator: Enhancing Technology Mapping with Heterogeneous Representations</t>
  </si>
  <si>
    <t>10.1109/DAC63849.2025.11133368</t>
  </si>
  <si>
    <t>Hardware Generation with High Flexibility Using Reinforcement Learning Enhanced LLMs</t>
  </si>
  <si>
    <t>10.1109/DAC63849.2025.11132897</t>
  </si>
  <si>
    <t>Improving Local Search Algorithm for Pseudo Boolean Optimization</t>
  </si>
  <si>
    <t>J. Artif. Int. Res.</t>
  </si>
  <si>
    <t>10.1613/jair.1.16626</t>
  </si>
  <si>
    <t>Data-Driven Approach for Dynamic Comparator in Analog-to-Digital Conversion</t>
  </si>
  <si>
    <t>IEEE Region 10 Annual International Conference, Proceedings/TENCON</t>
  </si>
  <si>
    <t>10.1109/TENCON66050.2025.11375215</t>
  </si>
  <si>
    <t>Vicuna2.0: RISC-V Embedded Vector Unit with Half-Precision Floating-Point Support for TinyML,</t>
  </si>
  <si>
    <t>2025 Austrochip Workshop on Microelectronics (Austrochip)</t>
  </si>
  <si>
    <t>10.1109/Austrochip67945.2025.11183718</t>
  </si>
  <si>
    <t>Moyogi: A Memory-Centric Accelerator for Low-Latency Random Forest Inference on Embedded Devices,</t>
  </si>
  <si>
    <t>2025 IEEE 33rd Annual International Symposium on Field-Programmable Custom Computing Machines (FCCM)</t>
  </si>
  <si>
    <t>10.1109/FCCM62733.2025.00065</t>
  </si>
  <si>
    <t>SmartTC: A Real-Time ML-Based Traffic Classification with Smartnic,</t>
  </si>
  <si>
    <t>2025 IEEE/ACM 33rd International Symposium on Quality of Service (IWQoS)</t>
  </si>
  <si>
    <t>10.1109/IWQoS65803.2025.11143536</t>
  </si>
  <si>
    <t>An FPGA Based Accelerated Perception Sub-System</t>
  </si>
  <si>
    <t>10.1109/TENCON66050.2025.11375556</t>
  </si>
  <si>
    <t>Robin: RWKV Accelerator using Block Circulant Matrices based on FPGA</t>
  </si>
  <si>
    <t>10.1109/ICCAD66269.2025.11240845</t>
  </si>
  <si>
    <t>Prompt, Fab, Flex: Agentic LLMs for Flexible Electronics Design</t>
  </si>
  <si>
    <t>10.1109/ICCAD66269.2025.11240714</t>
  </si>
  <si>
    <t>The Impact of Heterogeneous Logic on Adders and Multipliers in VTR</t>
  </si>
  <si>
    <t>Proceedings of the 34th International Workshop on Rapid System Prototyping</t>
  </si>
  <si>
    <t>10.1145/3625223.3649266</t>
  </si>
  <si>
    <t>Extending Memory Compatibility with Yosys Front-End in VTR Flow</t>
  </si>
  <si>
    <t>10.1145/3625223.3649269</t>
  </si>
  <si>
    <t>TrinitySLAM: On-board Real-time Event-image Fusion SLAM System for Drones</t>
  </si>
  <si>
    <t>ACM Trans. Sen. Netw.</t>
  </si>
  <si>
    <t>10.1145/3696420</t>
  </si>
  <si>
    <t>Reevaluating GoogleÃ¢Â€Â™s Reinforcement Learning for IC Macro Placement</t>
  </si>
  <si>
    <t>10.1145/3676845</t>
  </si>
  <si>
    <t>PyGim : An Efficient Graph Neural Network Library for Real Processing-In-Memory Architectures</t>
  </si>
  <si>
    <t>Proc. ACM Meas. Anal. Comput. Syst.</t>
  </si>
  <si>
    <t>10.1145/3700434</t>
  </si>
  <si>
    <t>D2D-GPT: Leveraging Incremental Learning GPT for Seamless Design Rule Conversion Across EDA Tools</t>
  </si>
  <si>
    <t>APCCAS and PrimeAsia 2024 - 2024 IEEE 20th Asia Pacific Conference on Circuits and Systems and IEEE Asia Pacific Conference on Postgraduate Research in Microelectronics Electronics, Proceeding</t>
  </si>
  <si>
    <t>10.1109/APCCAS62602.2024.10808537</t>
  </si>
  <si>
    <t>Pragmatic EDA Flow Runtime Prediction with Machine Learning and Automatic Outlier Removal</t>
  </si>
  <si>
    <t>10.1109/APCCAS62602.2024.10808773</t>
  </si>
  <si>
    <t>Unlocking the Power of Machine Learning for Faster PCB Package and Board PDN Convergence,</t>
  </si>
  <si>
    <t>2024 37th International Conference on VLSI Design and 2024 23rd International Conference on Embedded Systems (VLSID)</t>
  </si>
  <si>
    <t>10.1109/VLSID60093.2024.00054</t>
  </si>
  <si>
    <t>A Data-Driven, Congestion-Aware and Open-Source Timing-Driven FPGA Placer Accelerated by GPUs,</t>
  </si>
  <si>
    <t>2024 IEEE 32nd Annual International Symposium on Field-Programmable Custom Computing Machines (FCCM)</t>
  </si>
  <si>
    <t>10.1109/FCCM60383.2024.00022</t>
  </si>
  <si>
    <t>Exploring Approximation and Dataflow Co-Optimization for Scalable Transformer Inference Architecture on the Edge,</t>
  </si>
  <si>
    <t>2024 IEEE 37th International System-on-Chip Conference (SOCC)</t>
  </si>
  <si>
    <t>10.1109/SOCC62300.2024.10737793</t>
  </si>
  <si>
    <t>Kernel-as-a-Service: A Serverless Programming Model for Heterogeneous Hardware Accelerators</t>
  </si>
  <si>
    <t>Proceedings of the 24th International Middleware Conference</t>
  </si>
  <si>
    <t>10.1145/3590140.3629115</t>
  </si>
  <si>
    <t>Single and Multi-objective Test Cases Prioritization for Self-driving Cars in Virtual Environments</t>
  </si>
  <si>
    <t>10.1145/3533818</t>
  </si>
  <si>
    <t>A Framework for Graph Machine Learning on Heterogeneous Architecture,</t>
  </si>
  <si>
    <t>2023 IEEE 31st Annual International Symposium on Field-Programmable Custom Computing Machines (FCCM)</t>
  </si>
  <si>
    <t>10.1109/FCCM57271.2023.00062</t>
  </si>
  <si>
    <t>An efficient High-Volume Production Performance Screening using On-Chip Ring Oscillators,</t>
  </si>
  <si>
    <t>2023 IEEE International Symposium on Defect and Fault Tolerance in VLSI and Nanotechnology Systems (DFT)</t>
  </si>
  <si>
    <t>10.1109/DFT59622.2023.10313542</t>
  </si>
  <si>
    <t>DeepScheduler: Enabling Flow-Aware Scheduling in Time-Sensitive Networking</t>
  </si>
  <si>
    <t>Proceedings - IEEE INFOCOM</t>
  </si>
  <si>
    <t>10.1109/INFOCOM53939.2023.10228875</t>
  </si>
  <si>
    <t>Survey of Machine Learning for Electronic Design Automation</t>
  </si>
  <si>
    <t>Proceedings of the ACM Great Lakes Symposium on VLSI, GLSVLSI</t>
  </si>
  <si>
    <t>10.1145/3526241.3530834</t>
  </si>
  <si>
    <t>Applying GNNs to timing estimation at RTL</t>
  </si>
  <si>
    <t>Trust-Region Method with Deep Reinforcement Learning in Analog Design Space Exploration</t>
  </si>
  <si>
    <t>10.1109/DAC18074.2021.9586087</t>
  </si>
  <si>
    <t>Invited: Bambu: An Open-Source Research Framework for the High-Level Synthesis of Complex Applications</t>
  </si>
  <si>
    <t>10.1109/DAC18074.2021.9586110</t>
  </si>
  <si>
    <t>DPU-v2: Energy-efficient execution of irregular directed acyclic graphs</t>
  </si>
  <si>
    <t>10.1109/MICRO56248.2022.00090</t>
  </si>
  <si>
    <t>A Case for Fine-grain Coherence Specialization in Heterogeneous Systems</t>
  </si>
  <si>
    <t>10.1145/3530819</t>
  </si>
  <si>
    <t>Safety in Autonomous Driving: Can Tools Offer Guarantees?</t>
  </si>
  <si>
    <t>10.1109/DAC18074.2021.9586292</t>
  </si>
  <si>
    <t>CGX: adaptive system support for communication-efficient deep learning</t>
  </si>
  <si>
    <t>Proceedings of the 23rd ACM/IFIP International Middleware Conference</t>
  </si>
  <si>
    <t>10.1145/3528535.3565248</t>
  </si>
  <si>
    <t>F-CAD: A Framework to Explore Hardware Accelerators for Codec Avatar Decoding</t>
  </si>
  <si>
    <t>10.1109/DAC18074.2021.9586192</t>
  </si>
  <si>
    <t>BHDL: A Lucid, Expressive, and Embedded Programming Language and System for PCB Designs</t>
  </si>
  <si>
    <t>10.1109/DAC18074.2021.9586086</t>
  </si>
  <si>
    <t>SLAP: A Supervised Learning Approach for Priority Cuts Technology Mapping</t>
  </si>
  <si>
    <t>10.1109/DAC18074.2021.9586230</t>
  </si>
  <si>
    <t>NURA: A Framework for Supporting Non-Uniform Resource Accesses in GPUs</t>
  </si>
  <si>
    <t>10.1145/3508036</t>
  </si>
  <si>
    <t>Integrating Machine-Learning Probes into the VTR FPGA Design Flow,</t>
  </si>
  <si>
    <t>2022 35th SBC/SBMicro/IEEE/ACM Symposium on Integrated Circuits and Systems Design (SBCCI)</t>
  </si>
  <si>
    <t>10.1109/SBCCI55532.2022.9893251</t>
  </si>
  <si>
    <t>Reinforcement Learning for Hardware Security: Opportunities, Developments, and Challenges</t>
  </si>
  <si>
    <t>Proceedings - International SoC Design Conference 2022, ISOCC 2022</t>
  </si>
  <si>
    <t>10.1109/ISOCC56007.2022.10031569</t>
  </si>
  <si>
    <t>Hardware-Software Codesign of a CNN Accelerator</t>
  </si>
  <si>
    <t>Proceedings - 2022 25th Euromicro Conference on Digital System Design, DSD 2022</t>
  </si>
  <si>
    <t>10.1109/DSD57027.2022.00054</t>
  </si>
  <si>
    <t>HoloAR: On-the-fly Optimization of 3D Holographic Processing for Augmented Reality</t>
  </si>
  <si>
    <t>MICRO-54: 54th Annual IEEE/ACM International Symposium on Microarchitecture</t>
  </si>
  <si>
    <t>10.1145/3466752.3480056</t>
  </si>
  <si>
    <t>Progressive compressed records: taking a byte out of deep learning data</t>
  </si>
  <si>
    <t>Proc. VLDB Endow.</t>
  </si>
  <si>
    <t>10.14778/3476249.3476308</t>
  </si>
  <si>
    <t>GraphPEG: Accelerating Graph Processing on GPUs</t>
  </si>
  <si>
    <t>10.1145/3450440</t>
  </si>
  <si>
    <t>Database technology for the masses: sub-operators as first-class entities</t>
  </si>
  <si>
    <t>10.14778/3476249.3476296</t>
  </si>
  <si>
    <t>A Hardware Accelerator for Protocol Buffers</t>
  </si>
  <si>
    <t>10.1145/3466752.3480051</t>
  </si>
  <si>
    <t>Sanger: A Co-Design Framework for Enabling Sparse Attention using Reconfigurable Architecture</t>
  </si>
  <si>
    <t>10.1145/3466752.3480125</t>
  </si>
  <si>
    <t>CongestNN: An Bi-Directional Congestion Prediction Framework for Large-Scale Heterogeneous FPGAs,</t>
  </si>
  <si>
    <t>2021 IEEE 14th International Conference on ASIC (ASICON)</t>
  </si>
  <si>
    <t>10.1109/ASICON52560.2021.9620520</t>
  </si>
  <si>
    <t>Dynamic Precision Autotuning with TAFFO</t>
  </si>
  <si>
    <t>10.1145/3388785</t>
  </si>
  <si>
    <t>NNBench-X: A Benchmarking Methodology for Neural Network Accelerator Designs</t>
  </si>
  <si>
    <t>10.1145/3417709</t>
  </si>
  <si>
    <t>Toward an Open-Source Digital Flow: First Learnings from the OpenROAD Project</t>
  </si>
  <si>
    <t>Proceedings of the 56th Annual Design Automation Conference 2019</t>
  </si>
  <si>
    <t>10.1145/3316781.3326334</t>
  </si>
  <si>
    <t>High Performance Graph Convolutional Networks with Applications in Testability Analysis</t>
  </si>
  <si>
    <t>10.1145/3316781.3317838</t>
  </si>
  <si>
    <t>Predicting DRC Violations Using Ensemble Random Forest Algorithm</t>
  </si>
  <si>
    <t>10.1145/3316781.3322478</t>
  </si>
  <si>
    <t>A new golden age for computer architecture</t>
  </si>
  <si>
    <t>10.1145/3282307</t>
  </si>
  <si>
    <t>Developing synthesis flows without human knowledge</t>
  </si>
  <si>
    <t>Proceedings of the 55th Annual Design Automation Conference</t>
  </si>
  <si>
    <t>10.1145/3195970.3196026</t>
  </si>
  <si>
    <t>TRIG: hardware accelerator for inference-based applications and experimental demonstration using carbon nanotube FETs</t>
  </si>
  <si>
    <t>10.1145/3195970.3196132</t>
  </si>
  <si>
    <t>INVITED: Reducing Time and Effort in IC Implementation: A Roadmap of Challenges and Solutions,</t>
  </si>
  <si>
    <t>2018 55th ACM/ESDA/IEEE Design Automation Conference (DAC)</t>
  </si>
  <si>
    <t>10.1109/DAC.2018.8465871</t>
  </si>
  <si>
    <t>Accurate High-level Modeling and Automated Hardware/Software Co-design for Effective SoC Design Space Exploration</t>
  </si>
  <si>
    <t>Proceedings of the 54th Annual Design Automation Conference 2017</t>
  </si>
  <si>
    <t>10.1145/3061639.3062195</t>
  </si>
  <si>
    <t>Minimizing Cluster Number with Clip Shifting in Hotspot Pattern Classification</t>
  </si>
  <si>
    <t>10.1145/3061639.3062283</t>
  </si>
  <si>
    <t>Programming Heterogeneous Systems from an Image Processing DSL</t>
  </si>
  <si>
    <t>10.1145/3107953</t>
  </si>
  <si>
    <t>HALWPE: Hardware-Assisted Light Weight Performance Estimation for GPUs</t>
  </si>
  <si>
    <t>10.1145/3061639.3062257</t>
  </si>
  <si>
    <t>A machine learning approach to mapping streaming workloads to dynamic multicore processors</t>
  </si>
  <si>
    <t>Proceedings of the 17th ACM SIGPLAN/SIGBED Conference on Languages, Compilers, Tools, and Theory for Embedded Systems</t>
  </si>
  <si>
    <t>10.1145/2907950.2907951</t>
  </si>
  <si>
    <t>Efficient transistor-level timing yield estimation via line sampling</t>
  </si>
  <si>
    <t>Proceedings of the 53rd Annual Design Automation Conference</t>
  </si>
  <si>
    <t>10.1145/2897937.2898016</t>
  </si>
  <si>
    <t>Sparsity in deep learning: pruning and growth for efficient inference and training in neural networks</t>
  </si>
  <si>
    <t>J. Mach. Learn. Res.</t>
  </si>
  <si>
    <t>In-memory computing in emerging memory technologies for machine learning: an overview</t>
  </si>
  <si>
    <t>Proceedings of the 57th ACM/EDAC/IEEE Design Automation Conference</t>
  </si>
  <si>
    <t>Unified architectural support for secure and robust deep learning</t>
  </si>
  <si>
    <t>Deep learning-driven simultaneous layout decomposition and mask optimization</t>
  </si>
  <si>
    <t>Robust design of large area flexible electronics via compressed sensing</t>
  </si>
  <si>
    <t>IC</t>
  </si>
  <si>
    <t>EC</t>
  </si>
  <si>
    <t>Accepted</t>
  </si>
  <si>
    <t>A New Description Language for Data-Driven Asynchronous Circuits and its Design Flow</t>
  </si>
  <si>
    <t>2009 Pacific-Asia Conference on Circuits</t>
  </si>
  <si>
    <t>10.1109/PACCS.2009.132</t>
  </si>
  <si>
    <t>Bridging algorithm and ESL design: Matlab/Simulink model transformation and validation</t>
  </si>
  <si>
    <t>Proceedings of the 2013 Forum on Specification and Design Languages (FDL)</t>
  </si>
  <si>
    <t>Design flow for flip-flop grouping in data-driven clock gating</t>
  </si>
  <si>
    <t>10.1109/TVLSI.2013.2253338</t>
  </si>
  <si>
    <t>Methodology from chaos in IC implementation</t>
  </si>
  <si>
    <t>2010 11th International Symposium on Quality Electronic Design (ISQED)</t>
  </si>
  <si>
    <t>10.1109/ISQED.2010.5450475</t>
  </si>
  <si>
    <t>Quasi-delay-insensitive compiler: Automatic synthesis of asynchronous circuits from verilog specifications</t>
  </si>
  <si>
    <t>2011 IEEE 54th International Midwest Symposium on Circuits and Systems (MWSCAS)</t>
  </si>
  <si>
    <t>10.1109/MWSCAS.2011.6026577</t>
  </si>
  <si>
    <t>Introducing XCS to Coverage Directed test Generation</t>
  </si>
  <si>
    <t>2011 IEEE International High Level Design Validation and Test Workshop</t>
  </si>
  <si>
    <t>10.1109/HLDVT.2011.6114166</t>
  </si>
  <si>
    <t>O'Clock: Lock the Clock via Clock-gating for SoC IP Protection</t>
  </si>
  <si>
    <t>3DIC benefit estimation and implementation guidance from 2DIC implementation</t>
  </si>
  <si>
    <t>2015 52nd ACM/EDAC/IEEE Design Automation Conference (DAC)</t>
  </si>
  <si>
    <t>10.1145/2744769.2744771</t>
  </si>
  <si>
    <t>Learning-based power modeling of system-level black-box IPs</t>
  </si>
  <si>
    <t>2015 IEEE/ACM International Conference on Computer-Aided Design (ICCAD)</t>
  </si>
  <si>
    <t>10.1109/ICCAD.2015.7372659</t>
  </si>
  <si>
    <t>Designing Heterogeneous Embedded Network-on-Chip Platforms With Users in Mind</t>
  </si>
  <si>
    <t>10.1109/TCAD.2010.2049045</t>
  </si>
  <si>
    <t>Analyzing systemC designs: SystemC analysis approaches for varying applications</t>
  </si>
  <si>
    <t>Sensors (Switzerland)</t>
  </si>
  <si>
    <t>10.3390/s150510399</t>
  </si>
  <si>
    <t>6th International Workshop on Field-Programmable Logic and Applications, FPL 1996</t>
  </si>
  <si>
    <t>Lecture Notes in Computer Science</t>
  </si>
  <si>
    <t>Conference review</t>
  </si>
  <si>
    <t>A smart camera for the surveillance of vehicles in intelligent transportation systems</t>
  </si>
  <si>
    <t>10.1007/s11042-015-3151-y</t>
  </si>
  <si>
    <t>Approaching the accuracy-cost conflict in embedded classification system design</t>
  </si>
  <si>
    <t>Pattern Analysis and Applications</t>
  </si>
  <si>
    <t>10.1007/s10044-015-0503-1</t>
  </si>
  <si>
    <t>Hardware/Software Co-design of Embedded Real-Time KD-Tree Based Feature Matching Systems</t>
  </si>
  <si>
    <t>Advances in Visual Computing</t>
  </si>
  <si>
    <t>10.1007/978-3-319-14364-4_90</t>
  </si>
  <si>
    <t>Better-Than-Worst-Case Design: Progress and Opportunities</t>
  </si>
  <si>
    <t>Journal of Computer Science and Technology</t>
  </si>
  <si>
    <t>10.1007/s11390-014-1457-2</t>
  </si>
  <si>
    <t>SADDLE: A Modular Design Automation Framework for Cluster Supercomputers and Data Centres</t>
  </si>
  <si>
    <t>10.1007/978-3-319-07518-1_15</t>
  </si>
  <si>
    <t>A practical evaluation of the performance of the Impulse CoDeveloper HLS tool for implementing large-kernel 2-D filters</t>
  </si>
  <si>
    <t>10.1007/s11554-013-0374-x</t>
  </si>
  <si>
    <t>Future Shape Modelling Scenarios</t>
  </si>
  <si>
    <t>Future Vision and Trends on Shapes, Geometry and Algebra</t>
  </si>
  <si>
    <t>10.1007/978-1-4471-6461-6_1</t>
  </si>
  <si>
    <t>A Smart Camera for Traffic Surveillance</t>
  </si>
  <si>
    <t>Multimedia Communications, Services and Security</t>
  </si>
  <si>
    <t>10.1007/978-3-319-07569-3_1</t>
  </si>
  <si>
    <t>Synthesis of planar inductors in low temperature co-fired ceramic technology</t>
  </si>
  <si>
    <t>Analog Integrated Circuits and Signal Processing</t>
  </si>
  <si>
    <t>10.1007/s10470-013-0214-8</t>
  </si>
  <si>
    <t>Enhancing a Layout-Aware Synthesis Methodology for Analog ICs by Embedding Statistical Knowledge into the Evolutionary Optimization Kernel</t>
  </si>
  <si>
    <t>Technological Innovation for the Internet of Things</t>
  </si>
  <si>
    <t>10.1007/978-3-642-37291-9_57</t>
  </si>
  <si>
    <t>Real time simultaneous localization and mapping: towards low-cost multiprocessor embedded systems</t>
  </si>
  <si>
    <t>EURASIP Journal on Embedded Systems</t>
  </si>
  <si>
    <t>10.1186/1687-3963-2012-5</t>
  </si>
  <si>
    <t>An integrated high-level hardware/software partitioning methodology</t>
  </si>
  <si>
    <t>Design Automation for Embedded Systems</t>
  </si>
  <si>
    <t>10.1007/s10617-010-9068-9</t>
  </si>
  <si>
    <t>An Extended IDM Business Model to Ensure Time-to-Quality in Semiconductor Manufacturing Industry</t>
  </si>
  <si>
    <t>ENTERprise Information Systems</t>
  </si>
  <si>
    <t>10.1007/978-3-642-24358-5_12</t>
  </si>
  <si>
    <t>ARC: a metacomputing environment for clusters augmented with reconfigurable hardware</t>
  </si>
  <si>
    <t>10.1007/s11227-011-0634-0</t>
  </si>
  <si>
    <t>Overview of the MPEG Reconfigurable Video Coding Framework</t>
  </si>
  <si>
    <t>10.1007/s11265-009-0399-3</t>
  </si>
  <si>
    <t>Signature-Based Calibration of Analytical System-Level Performance Models</t>
  </si>
  <si>
    <t>10.1007/978-3-540-70550-5_30</t>
  </si>
  <si>
    <t>Bio-jETI: a service integration, design, and provisioning platform for orchestrated bioinformatics processes</t>
  </si>
  <si>
    <t>BMC Bioinformatics</t>
  </si>
  <si>
    <t>10.1186/1471-2105-9-S4-S12</t>
  </si>
  <si>
    <t>Exploiting the Expressiveness of Cyclo-Static Dataflow to Model Multimedia Implementations</t>
  </si>
  <si>
    <t>EURASIP Journal on Advances in Signal Processing</t>
  </si>
  <si>
    <t>10.1155/2007/84078</t>
  </si>
  <si>
    <t>Self-Timed Scheduling Analysis for Real-Time Applications</t>
  </si>
  <si>
    <t>10.1155/2007/83710</t>
  </si>
  <si>
    <t>Rapid Prototyping for Heterogeneous Multicomponent Systems: An MPEG-4 Stream over a UMTS Communication Link</t>
  </si>
  <si>
    <t>10.1155/ASP/2006/64369</t>
  </si>
  <si>
    <t>Modeling of Interconnection Networks in Massively Parallel Processor Architectures</t>
  </si>
  <si>
    <t>Architecture of Computing Systems - ARCS 2007</t>
  </si>
  <si>
    <t>10.1007/978-3-540-71270-1_20</t>
  </si>
  <si>
    <t>Low-Cost Super-Resolution Algorithms Implementation Over a HW/SW Video Compression Platform</t>
  </si>
  <si>
    <t>10.1155/ASP/2006/84614</t>
  </si>
  <si>
    <t>Automated Design of Cryptographic Devices Resistant to Multiple Side-Channel Attacks</t>
  </si>
  <si>
    <t>Cryptographic Hardware and Embedded Systems - CHES 2006</t>
  </si>
  <si>
    <t>10.1007/11894063_31</t>
  </si>
  <si>
    <t>Fast Prototyping Methodology for Distributed and Heterogeneous Architectures: Application to Mpeg-4 Video Tools</t>
  </si>
  <si>
    <t>10.1007/s10617-005-1187-3</t>
  </si>
  <si>
    <t>The use of intelligent data analysis techniques for system-level design: a software estimation example</t>
  </si>
  <si>
    <t>Soft Computing</t>
  </si>
  <si>
    <t>10.1007/s00500-003-0306-y</t>
  </si>
  <si>
    <t>Explanation Service for Complex CBR Applications</t>
  </si>
  <si>
    <t>Advances in Case-Based Reasoning</t>
  </si>
  <si>
    <t>10.1007/978-3-540-28631-8_23</t>
  </si>
  <si>
    <t>Hardware/Software Co-Design of Complex Embedded Systems: An Approach Using Efficient Process Models, Multiple Formalism Specification and Validation via Co-Simulation</t>
  </si>
  <si>
    <t>10.1023/A:1022388018837</t>
  </si>
  <si>
    <t>The Universal Configurable Block/Machine— An Approach for a Configurable SoC-Architecture</t>
  </si>
  <si>
    <t>10.1023/A:1025651132236</t>
  </si>
  <si>
    <t>Synthesizing Energy-Efficient Embedded Systems with LOPOCOS</t>
  </si>
  <si>
    <t>10.1023/A:1016511712014</t>
  </si>
  <si>
    <t>Reconfigurable Computing for Digital Signal Processing: A Survey</t>
  </si>
  <si>
    <t>Journal of VLSI Signal Processing Systems for Signal, Image and Video Technology</t>
  </si>
  <si>
    <t>10.1023/A:1008155020711</t>
  </si>
  <si>
    <t>Design Methodology of a Low-Energy Reconfigurable Single-Chip DSP System</t>
  </si>
  <si>
    <t>10.1023/A:1008159121620</t>
  </si>
  <si>
    <t>A Co-Design Methodology for Telecommunication Systems: A Case Study of an Acoustic Echo Canceller</t>
  </si>
  <si>
    <t>10.1023/A:1008117718075</t>
  </si>
  <si>
    <t>Perspectives of reconfigurable computing in research, industry and education</t>
  </si>
  <si>
    <t>Field-Programmable Logic and Applications From FPGAs to Computing Paradigm</t>
  </si>
  <si>
    <t>10.1007/BFb0055231</t>
  </si>
  <si>
    <t>Clock Skew Optimization for Peak Current Reduction</t>
  </si>
  <si>
    <t>10.1023/A:1007982806152</t>
  </si>
  <si>
    <t>Complexity management in system-level design</t>
  </si>
  <si>
    <t>10.1007/BF00925497</t>
  </si>
  <si>
    <t>Active relationships for controlling the propagation of information and activities in databases</t>
  </si>
  <si>
    <t>Advanced Information Systems Engineering</t>
  </si>
  <si>
    <t>10.1007/3-540-61292-0_9</t>
  </si>
  <si>
    <t>DFS-superMPx: Low-cost parallel processing system for machine vision and image processing</t>
  </si>
  <si>
    <t>Parallel Computing Technologies</t>
  </si>
  <si>
    <t>10.1007/3-540-60222-4_125</t>
  </si>
  <si>
    <t>Asynchronous Circuit Design: Motivation, Background, &amp; Methods</t>
  </si>
  <si>
    <t>Asynchronous Digital Circuit Design</t>
  </si>
  <si>
    <t>10.1007/978-1-4471-3575-3_1</t>
  </si>
  <si>
    <t>Applying process technology to hardware design</t>
  </si>
  <si>
    <t>Software Process Technology</t>
  </si>
  <si>
    <t>10.1007/3-540-57739-4_29</t>
  </si>
  <si>
    <t>Bibliography of Petri nets 1990</t>
  </si>
  <si>
    <t>Advances in Petri Nets 1991</t>
  </si>
  <si>
    <t>10.1007/BFb0019981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</si>
</sst>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5F58-EB02-4874-8C36-8FFDBC41C6AB}">
  <dimension ref="A1:W1137"/>
  <sheetViews>
    <sheetView topLeftCell="G1121" workbookViewId="0">
      <selection activeCell="V1138" sqref="V1138"/>
    </sheetView>
  </sheetViews>
  <sheetFormatPr defaultRowHeight="14.4" x14ac:dyDescent="0.3"/>
  <cols>
    <col min="1" max="1" width="97.21875" customWidth="1"/>
    <col min="5" max="5" width="35.6640625" bestFit="1" customWidth="1"/>
    <col min="19" max="19" width="36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2596</v>
      </c>
      <c r="U1" t="s">
        <v>2597</v>
      </c>
      <c r="V1" t="s">
        <v>2598</v>
      </c>
    </row>
    <row r="2" spans="1:22" x14ac:dyDescent="0.3">
      <c r="A2" t="s">
        <v>19</v>
      </c>
      <c r="B2">
        <v>2026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f>SUM(H2:M2)</f>
        <v>2</v>
      </c>
      <c r="U2">
        <f>SUM(N2:R2)</f>
        <v>0</v>
      </c>
      <c r="V2" t="b">
        <f>T2&gt;4</f>
        <v>0</v>
      </c>
    </row>
    <row r="3" spans="1:22" x14ac:dyDescent="0.3">
      <c r="A3" t="s">
        <v>25</v>
      </c>
      <c r="B3">
        <v>2026</v>
      </c>
      <c r="C3" t="s">
        <v>20</v>
      </c>
      <c r="D3" t="s">
        <v>21</v>
      </c>
      <c r="E3" t="s">
        <v>26</v>
      </c>
      <c r="F3" t="s">
        <v>23</v>
      </c>
      <c r="G3" t="s">
        <v>24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f t="shared" ref="T3:T66" si="0">SUM(H3:M3)</f>
        <v>3</v>
      </c>
      <c r="U3">
        <f t="shared" ref="U3:U66" si="1">SUM(N3:R3)</f>
        <v>0</v>
      </c>
      <c r="V3" t="b">
        <f t="shared" ref="V3:V66" si="2">T3&gt;4</f>
        <v>0</v>
      </c>
    </row>
    <row r="4" spans="1:22" x14ac:dyDescent="0.3">
      <c r="A4" t="s">
        <v>27</v>
      </c>
      <c r="B4">
        <v>2026</v>
      </c>
      <c r="C4" t="s">
        <v>28</v>
      </c>
      <c r="D4" t="s">
        <v>29</v>
      </c>
      <c r="E4" t="s">
        <v>30</v>
      </c>
      <c r="F4" t="s">
        <v>31</v>
      </c>
      <c r="G4" t="s">
        <v>24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f t="shared" si="0"/>
        <v>4</v>
      </c>
      <c r="U4">
        <f t="shared" si="1"/>
        <v>1</v>
      </c>
      <c r="V4" t="b">
        <f t="shared" si="2"/>
        <v>0</v>
      </c>
    </row>
    <row r="5" spans="1:22" x14ac:dyDescent="0.3">
      <c r="A5" t="s">
        <v>32</v>
      </c>
      <c r="B5">
        <v>2026</v>
      </c>
      <c r="C5" t="s">
        <v>33</v>
      </c>
      <c r="D5" t="s">
        <v>21</v>
      </c>
      <c r="E5" t="s">
        <v>34</v>
      </c>
      <c r="F5" t="s">
        <v>35</v>
      </c>
      <c r="G5" t="s">
        <v>24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f t="shared" si="0"/>
        <v>3</v>
      </c>
      <c r="U5">
        <f t="shared" si="1"/>
        <v>1</v>
      </c>
      <c r="V5" t="b">
        <f t="shared" si="2"/>
        <v>0</v>
      </c>
    </row>
    <row r="6" spans="1:22" x14ac:dyDescent="0.3">
      <c r="A6" t="s">
        <v>36</v>
      </c>
      <c r="B6">
        <v>2026</v>
      </c>
      <c r="C6" t="s">
        <v>37</v>
      </c>
      <c r="D6" t="s">
        <v>29</v>
      </c>
      <c r="E6" t="s">
        <v>38</v>
      </c>
      <c r="F6" t="s">
        <v>39</v>
      </c>
      <c r="G6" t="s">
        <v>24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si="0"/>
        <v>3</v>
      </c>
      <c r="U6">
        <f t="shared" si="1"/>
        <v>0</v>
      </c>
      <c r="V6" t="b">
        <f t="shared" si="2"/>
        <v>0</v>
      </c>
    </row>
    <row r="7" spans="1:22" x14ac:dyDescent="0.3">
      <c r="A7" t="s">
        <v>40</v>
      </c>
      <c r="B7">
        <v>2026</v>
      </c>
      <c r="C7" t="s">
        <v>20</v>
      </c>
      <c r="D7" t="s">
        <v>21</v>
      </c>
      <c r="E7" t="s">
        <v>41</v>
      </c>
      <c r="F7" t="s">
        <v>23</v>
      </c>
      <c r="G7" t="s">
        <v>24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f t="shared" si="0"/>
        <v>5</v>
      </c>
      <c r="U7">
        <f t="shared" si="1"/>
        <v>0</v>
      </c>
      <c r="V7" t="b">
        <f>T7&gt;4</f>
        <v>1</v>
      </c>
    </row>
    <row r="8" spans="1:22" x14ac:dyDescent="0.3">
      <c r="A8" t="s">
        <v>42</v>
      </c>
      <c r="B8">
        <v>2026</v>
      </c>
      <c r="C8" t="s">
        <v>28</v>
      </c>
      <c r="D8" t="s">
        <v>29</v>
      </c>
      <c r="E8" t="s">
        <v>43</v>
      </c>
      <c r="F8" t="s">
        <v>31</v>
      </c>
      <c r="G8" t="s">
        <v>24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f t="shared" si="0"/>
        <v>3</v>
      </c>
      <c r="U8">
        <f t="shared" si="1"/>
        <v>1</v>
      </c>
      <c r="V8" t="b">
        <f t="shared" si="2"/>
        <v>0</v>
      </c>
    </row>
    <row r="9" spans="1:22" x14ac:dyDescent="0.3">
      <c r="A9" t="s">
        <v>44</v>
      </c>
      <c r="B9">
        <v>2026</v>
      </c>
      <c r="C9" t="s">
        <v>45</v>
      </c>
      <c r="D9" t="s">
        <v>29</v>
      </c>
      <c r="E9" t="s">
        <v>46</v>
      </c>
      <c r="F9" t="s">
        <v>39</v>
      </c>
      <c r="G9" t="s">
        <v>24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f t="shared" si="0"/>
        <v>3</v>
      </c>
      <c r="U9">
        <f t="shared" si="1"/>
        <v>1</v>
      </c>
      <c r="V9" t="b">
        <f t="shared" si="2"/>
        <v>0</v>
      </c>
    </row>
    <row r="10" spans="1:22" x14ac:dyDescent="0.3">
      <c r="A10" t="s">
        <v>47</v>
      </c>
      <c r="B10">
        <v>2026</v>
      </c>
      <c r="C10" t="s">
        <v>48</v>
      </c>
      <c r="D10" t="s">
        <v>29</v>
      </c>
      <c r="E10" t="s">
        <v>49</v>
      </c>
      <c r="F10" t="s">
        <v>31</v>
      </c>
      <c r="G10" t="s">
        <v>24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f t="shared" si="0"/>
        <v>2</v>
      </c>
      <c r="U10">
        <f t="shared" si="1"/>
        <v>0</v>
      </c>
      <c r="V10" t="b">
        <f t="shared" si="2"/>
        <v>0</v>
      </c>
    </row>
    <row r="11" spans="1:22" x14ac:dyDescent="0.3">
      <c r="A11" t="s">
        <v>50</v>
      </c>
      <c r="B11">
        <v>2026</v>
      </c>
      <c r="C11" t="s">
        <v>28</v>
      </c>
      <c r="D11" t="s">
        <v>29</v>
      </c>
      <c r="E11" t="s">
        <v>51</v>
      </c>
      <c r="F11" t="s">
        <v>31</v>
      </c>
      <c r="G11" t="s">
        <v>24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f t="shared" si="0"/>
        <v>4</v>
      </c>
      <c r="U11">
        <f t="shared" si="1"/>
        <v>1</v>
      </c>
      <c r="V11" t="b">
        <f t="shared" si="2"/>
        <v>0</v>
      </c>
    </row>
    <row r="12" spans="1:22" x14ac:dyDescent="0.3">
      <c r="A12" t="s">
        <v>52</v>
      </c>
      <c r="B12">
        <v>2026</v>
      </c>
      <c r="C12" t="s">
        <v>53</v>
      </c>
      <c r="D12" t="s">
        <v>29</v>
      </c>
      <c r="E12" t="s">
        <v>54</v>
      </c>
      <c r="F12" t="s">
        <v>31</v>
      </c>
      <c r="G12" t="s">
        <v>24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f t="shared" si="0"/>
        <v>3</v>
      </c>
      <c r="U12">
        <f t="shared" si="1"/>
        <v>1</v>
      </c>
      <c r="V12" t="b">
        <f t="shared" si="2"/>
        <v>0</v>
      </c>
    </row>
    <row r="13" spans="1:22" x14ac:dyDescent="0.3">
      <c r="A13" t="s">
        <v>55</v>
      </c>
      <c r="B13">
        <v>2026</v>
      </c>
      <c r="C13" t="s">
        <v>48</v>
      </c>
      <c r="D13" t="s">
        <v>29</v>
      </c>
      <c r="E13" t="s">
        <v>56</v>
      </c>
      <c r="F13" t="s">
        <v>31</v>
      </c>
      <c r="G13" t="s">
        <v>24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f t="shared" si="0"/>
        <v>2</v>
      </c>
      <c r="U13">
        <f t="shared" si="1"/>
        <v>0</v>
      </c>
      <c r="V13" t="b">
        <f t="shared" si="2"/>
        <v>0</v>
      </c>
    </row>
    <row r="14" spans="1:22" x14ac:dyDescent="0.3">
      <c r="A14" t="s">
        <v>57</v>
      </c>
      <c r="B14">
        <v>2026</v>
      </c>
      <c r="C14" t="s">
        <v>53</v>
      </c>
      <c r="D14" t="s">
        <v>29</v>
      </c>
      <c r="E14" t="s">
        <v>58</v>
      </c>
      <c r="F14" t="s">
        <v>31</v>
      </c>
      <c r="G14" t="s">
        <v>24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f t="shared" si="0"/>
        <v>4</v>
      </c>
      <c r="U14">
        <f t="shared" si="1"/>
        <v>0</v>
      </c>
      <c r="V14" t="b">
        <f t="shared" si="2"/>
        <v>0</v>
      </c>
    </row>
    <row r="15" spans="1:22" x14ac:dyDescent="0.3">
      <c r="A15" t="s">
        <v>59</v>
      </c>
      <c r="B15">
        <v>2026</v>
      </c>
      <c r="C15" t="s">
        <v>53</v>
      </c>
      <c r="D15" t="s">
        <v>29</v>
      </c>
      <c r="E15" t="s">
        <v>60</v>
      </c>
      <c r="F15" t="s">
        <v>31</v>
      </c>
      <c r="G15" t="s">
        <v>24</v>
      </c>
      <c r="H15">
        <v>0</v>
      </c>
      <c r="I15">
        <v>1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f t="shared" si="0"/>
        <v>3</v>
      </c>
      <c r="U15">
        <f t="shared" si="1"/>
        <v>1</v>
      </c>
      <c r="V15" t="b">
        <f t="shared" si="2"/>
        <v>0</v>
      </c>
    </row>
    <row r="16" spans="1:22" x14ac:dyDescent="0.3">
      <c r="A16" t="s">
        <v>61</v>
      </c>
      <c r="B16">
        <v>2026</v>
      </c>
      <c r="C16" t="s">
        <v>62</v>
      </c>
      <c r="D16" t="s">
        <v>21</v>
      </c>
      <c r="E16" t="s">
        <v>63</v>
      </c>
      <c r="F16" t="s">
        <v>23</v>
      </c>
      <c r="G16" t="s">
        <v>24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f t="shared" si="0"/>
        <v>4</v>
      </c>
      <c r="U16">
        <f t="shared" si="1"/>
        <v>0</v>
      </c>
      <c r="V16" t="b">
        <f t="shared" si="2"/>
        <v>0</v>
      </c>
    </row>
    <row r="17" spans="1:22" x14ac:dyDescent="0.3">
      <c r="A17" t="s">
        <v>64</v>
      </c>
      <c r="B17">
        <v>2026</v>
      </c>
      <c r="C17" t="s">
        <v>28</v>
      </c>
      <c r="D17" t="s">
        <v>29</v>
      </c>
      <c r="E17" t="s">
        <v>65</v>
      </c>
      <c r="F17" t="s">
        <v>31</v>
      </c>
      <c r="G17" t="s">
        <v>24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 t="shared" si="0"/>
        <v>2</v>
      </c>
      <c r="U17">
        <f t="shared" si="1"/>
        <v>0</v>
      </c>
      <c r="V17" t="b">
        <f t="shared" si="2"/>
        <v>0</v>
      </c>
    </row>
    <row r="18" spans="1:22" x14ac:dyDescent="0.3">
      <c r="A18" t="s">
        <v>66</v>
      </c>
      <c r="B18">
        <v>2026</v>
      </c>
      <c r="C18" t="s">
        <v>62</v>
      </c>
      <c r="D18" t="s">
        <v>21</v>
      </c>
      <c r="E18" t="s">
        <v>67</v>
      </c>
      <c r="F18" t="s">
        <v>23</v>
      </c>
      <c r="G18" t="s">
        <v>24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f t="shared" si="0"/>
        <v>3</v>
      </c>
      <c r="U18">
        <f t="shared" si="1"/>
        <v>0</v>
      </c>
      <c r="V18" t="b">
        <f t="shared" si="2"/>
        <v>0</v>
      </c>
    </row>
    <row r="19" spans="1:22" x14ac:dyDescent="0.3">
      <c r="A19" t="s">
        <v>68</v>
      </c>
      <c r="B19">
        <v>2026</v>
      </c>
      <c r="C19" t="s">
        <v>62</v>
      </c>
      <c r="D19" t="s">
        <v>21</v>
      </c>
      <c r="E19" t="s">
        <v>69</v>
      </c>
      <c r="F19" t="s">
        <v>23</v>
      </c>
      <c r="G19" t="s">
        <v>24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0"/>
        <v>3</v>
      </c>
      <c r="U19">
        <f t="shared" si="1"/>
        <v>0</v>
      </c>
      <c r="V19" t="b">
        <f t="shared" si="2"/>
        <v>0</v>
      </c>
    </row>
    <row r="20" spans="1:22" x14ac:dyDescent="0.3">
      <c r="A20" t="s">
        <v>70</v>
      </c>
      <c r="B20">
        <v>2026</v>
      </c>
      <c r="C20" t="s">
        <v>53</v>
      </c>
      <c r="D20" t="s">
        <v>29</v>
      </c>
      <c r="E20" t="s">
        <v>71</v>
      </c>
      <c r="F20" t="s">
        <v>31</v>
      </c>
      <c r="G20" t="s">
        <v>24</v>
      </c>
      <c r="H20">
        <v>1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f t="shared" si="0"/>
        <v>3</v>
      </c>
      <c r="U20">
        <f t="shared" si="1"/>
        <v>0</v>
      </c>
      <c r="V20" t="b">
        <f t="shared" si="2"/>
        <v>0</v>
      </c>
    </row>
    <row r="21" spans="1:22" x14ac:dyDescent="0.3">
      <c r="A21" t="s">
        <v>72</v>
      </c>
      <c r="B21">
        <v>2026</v>
      </c>
      <c r="C21" t="s">
        <v>53</v>
      </c>
      <c r="D21" t="s">
        <v>29</v>
      </c>
      <c r="E21" t="s">
        <v>73</v>
      </c>
      <c r="F21" t="s">
        <v>31</v>
      </c>
      <c r="G21" t="s">
        <v>24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 t="shared" si="0"/>
        <v>2</v>
      </c>
      <c r="U21">
        <f t="shared" si="1"/>
        <v>0</v>
      </c>
      <c r="V21" t="b">
        <f t="shared" si="2"/>
        <v>0</v>
      </c>
    </row>
    <row r="22" spans="1:22" x14ac:dyDescent="0.3">
      <c r="A22" t="s">
        <v>74</v>
      </c>
      <c r="B22">
        <v>2026</v>
      </c>
      <c r="C22" t="s">
        <v>37</v>
      </c>
      <c r="D22" t="s">
        <v>29</v>
      </c>
      <c r="E22" t="s">
        <v>75</v>
      </c>
      <c r="F22" t="s">
        <v>39</v>
      </c>
      <c r="G22" t="s">
        <v>24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f t="shared" si="0"/>
        <v>2</v>
      </c>
      <c r="U22">
        <f t="shared" si="1"/>
        <v>0</v>
      </c>
      <c r="V22" t="b">
        <f t="shared" si="2"/>
        <v>0</v>
      </c>
    </row>
    <row r="23" spans="1:22" x14ac:dyDescent="0.3">
      <c r="A23" t="s">
        <v>76</v>
      </c>
      <c r="B23">
        <v>2026</v>
      </c>
      <c r="C23" t="s">
        <v>62</v>
      </c>
      <c r="D23" t="s">
        <v>21</v>
      </c>
      <c r="E23" t="s">
        <v>77</v>
      </c>
      <c r="F23" t="s">
        <v>23</v>
      </c>
      <c r="G23" t="s">
        <v>24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f t="shared" si="0"/>
        <v>6</v>
      </c>
      <c r="U23">
        <f t="shared" si="1"/>
        <v>0</v>
      </c>
      <c r="V23" t="b">
        <f t="shared" si="2"/>
        <v>1</v>
      </c>
    </row>
    <row r="24" spans="1:22" x14ac:dyDescent="0.3">
      <c r="A24" t="s">
        <v>78</v>
      </c>
      <c r="B24">
        <v>2026</v>
      </c>
      <c r="C24" t="s">
        <v>53</v>
      </c>
      <c r="D24" t="s">
        <v>29</v>
      </c>
      <c r="E24" t="s">
        <v>79</v>
      </c>
      <c r="F24" t="s">
        <v>31</v>
      </c>
      <c r="G24" t="s">
        <v>24</v>
      </c>
      <c r="H24">
        <v>1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f t="shared" si="0"/>
        <v>3</v>
      </c>
      <c r="U24">
        <f t="shared" si="1"/>
        <v>0</v>
      </c>
      <c r="V24" t="b">
        <f t="shared" si="2"/>
        <v>0</v>
      </c>
    </row>
    <row r="25" spans="1:22" x14ac:dyDescent="0.3">
      <c r="A25" t="s">
        <v>80</v>
      </c>
      <c r="B25">
        <v>2026</v>
      </c>
      <c r="C25" t="s">
        <v>48</v>
      </c>
      <c r="D25" t="s">
        <v>29</v>
      </c>
      <c r="E25" t="s">
        <v>81</v>
      </c>
      <c r="F25" t="s">
        <v>31</v>
      </c>
      <c r="G25" t="s">
        <v>24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f t="shared" si="0"/>
        <v>2</v>
      </c>
      <c r="U25">
        <f t="shared" si="1"/>
        <v>0</v>
      </c>
      <c r="V25" t="b">
        <f t="shared" si="2"/>
        <v>0</v>
      </c>
    </row>
    <row r="26" spans="1:22" x14ac:dyDescent="0.3">
      <c r="A26" t="s">
        <v>82</v>
      </c>
      <c r="B26">
        <v>2026</v>
      </c>
      <c r="C26" t="s">
        <v>62</v>
      </c>
      <c r="D26" t="s">
        <v>21</v>
      </c>
      <c r="E26" t="s">
        <v>83</v>
      </c>
      <c r="F26" t="s">
        <v>23</v>
      </c>
      <c r="G26" t="s">
        <v>24</v>
      </c>
      <c r="H26">
        <v>1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f t="shared" si="0"/>
        <v>3</v>
      </c>
      <c r="U26">
        <f t="shared" si="1"/>
        <v>0</v>
      </c>
      <c r="V26" t="b">
        <f t="shared" si="2"/>
        <v>0</v>
      </c>
    </row>
    <row r="27" spans="1:22" x14ac:dyDescent="0.3">
      <c r="A27" t="s">
        <v>84</v>
      </c>
      <c r="B27">
        <v>2026</v>
      </c>
      <c r="C27" t="s">
        <v>53</v>
      </c>
      <c r="D27" t="s">
        <v>29</v>
      </c>
      <c r="E27" t="s">
        <v>85</v>
      </c>
      <c r="F27" t="s">
        <v>31</v>
      </c>
      <c r="G27" t="s">
        <v>24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 t="shared" si="0"/>
        <v>2</v>
      </c>
      <c r="U27">
        <f t="shared" si="1"/>
        <v>0</v>
      </c>
      <c r="V27" t="b">
        <f t="shared" si="2"/>
        <v>0</v>
      </c>
    </row>
    <row r="28" spans="1:22" x14ac:dyDescent="0.3">
      <c r="A28" t="s">
        <v>86</v>
      </c>
      <c r="B28">
        <v>2026</v>
      </c>
      <c r="C28" t="s">
        <v>37</v>
      </c>
      <c r="D28" t="s">
        <v>29</v>
      </c>
      <c r="E28" t="s">
        <v>87</v>
      </c>
      <c r="F28" t="s">
        <v>39</v>
      </c>
      <c r="G28" t="s">
        <v>24</v>
      </c>
      <c r="H28">
        <v>0</v>
      </c>
      <c r="I28">
        <v>1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f t="shared" si="0"/>
        <v>3</v>
      </c>
      <c r="U28">
        <f t="shared" si="1"/>
        <v>1</v>
      </c>
      <c r="V28" t="b">
        <f t="shared" si="2"/>
        <v>0</v>
      </c>
    </row>
    <row r="29" spans="1:22" x14ac:dyDescent="0.3">
      <c r="A29" t="s">
        <v>88</v>
      </c>
      <c r="B29">
        <v>2026</v>
      </c>
      <c r="C29" t="s">
        <v>53</v>
      </c>
      <c r="D29" t="s">
        <v>29</v>
      </c>
      <c r="E29" t="s">
        <v>89</v>
      </c>
      <c r="F29" t="s">
        <v>31</v>
      </c>
      <c r="G29" t="s">
        <v>24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 t="shared" si="0"/>
        <v>6</v>
      </c>
      <c r="U29">
        <f t="shared" si="1"/>
        <v>0</v>
      </c>
      <c r="V29" t="b">
        <f t="shared" si="2"/>
        <v>1</v>
      </c>
    </row>
    <row r="30" spans="1:22" x14ac:dyDescent="0.3">
      <c r="A30" t="s">
        <v>90</v>
      </c>
      <c r="B30">
        <v>2026</v>
      </c>
      <c r="C30" t="s">
        <v>53</v>
      </c>
      <c r="D30" t="s">
        <v>29</v>
      </c>
      <c r="E30" t="s">
        <v>91</v>
      </c>
      <c r="F30" t="s">
        <v>31</v>
      </c>
      <c r="G30" t="s">
        <v>24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f t="shared" si="0"/>
        <v>5</v>
      </c>
      <c r="U30">
        <f t="shared" si="1"/>
        <v>0</v>
      </c>
      <c r="V30" t="b">
        <f t="shared" si="2"/>
        <v>1</v>
      </c>
    </row>
    <row r="31" spans="1:22" x14ac:dyDescent="0.3">
      <c r="A31" t="s">
        <v>92</v>
      </c>
      <c r="B31">
        <v>2026</v>
      </c>
      <c r="C31" t="s">
        <v>53</v>
      </c>
      <c r="D31" t="s">
        <v>29</v>
      </c>
      <c r="E31" t="s">
        <v>93</v>
      </c>
      <c r="F31" t="s">
        <v>31</v>
      </c>
      <c r="G31" t="s">
        <v>24</v>
      </c>
      <c r="H31">
        <v>0</v>
      </c>
      <c r="I31">
        <v>1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f t="shared" si="0"/>
        <v>3</v>
      </c>
      <c r="U31">
        <f t="shared" si="1"/>
        <v>1</v>
      </c>
      <c r="V31" t="b">
        <f t="shared" si="2"/>
        <v>0</v>
      </c>
    </row>
    <row r="32" spans="1:22" x14ac:dyDescent="0.3">
      <c r="A32" t="s">
        <v>94</v>
      </c>
      <c r="B32">
        <v>2026</v>
      </c>
      <c r="C32" t="s">
        <v>53</v>
      </c>
      <c r="D32" t="s">
        <v>29</v>
      </c>
      <c r="E32" t="s">
        <v>95</v>
      </c>
      <c r="F32" t="s">
        <v>31</v>
      </c>
      <c r="G32" t="s">
        <v>24</v>
      </c>
      <c r="H32">
        <v>0</v>
      </c>
      <c r="I32">
        <v>1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f t="shared" si="0"/>
        <v>3</v>
      </c>
      <c r="U32">
        <f t="shared" si="1"/>
        <v>1</v>
      </c>
      <c r="V32" t="b">
        <f t="shared" si="2"/>
        <v>0</v>
      </c>
    </row>
    <row r="33" spans="1:22" x14ac:dyDescent="0.3">
      <c r="A33" t="s">
        <v>96</v>
      </c>
      <c r="B33">
        <v>2026</v>
      </c>
      <c r="C33" t="s">
        <v>53</v>
      </c>
      <c r="D33" t="s">
        <v>29</v>
      </c>
      <c r="E33" t="s">
        <v>97</v>
      </c>
      <c r="F33" t="s">
        <v>31</v>
      </c>
      <c r="G33" t="s">
        <v>24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0"/>
        <v>2</v>
      </c>
      <c r="U33">
        <f t="shared" si="1"/>
        <v>0</v>
      </c>
      <c r="V33" t="b">
        <f t="shared" si="2"/>
        <v>0</v>
      </c>
    </row>
    <row r="34" spans="1:22" x14ac:dyDescent="0.3">
      <c r="A34" t="s">
        <v>98</v>
      </c>
      <c r="B34">
        <v>2026</v>
      </c>
      <c r="C34" t="s">
        <v>33</v>
      </c>
      <c r="D34" t="s">
        <v>21</v>
      </c>
      <c r="E34" t="s">
        <v>99</v>
      </c>
      <c r="F34" t="s">
        <v>35</v>
      </c>
      <c r="G34" t="s">
        <v>24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 t="shared" si="0"/>
        <v>2</v>
      </c>
      <c r="U34">
        <f t="shared" si="1"/>
        <v>0</v>
      </c>
      <c r="V34" t="b">
        <f t="shared" si="2"/>
        <v>0</v>
      </c>
    </row>
    <row r="35" spans="1:22" x14ac:dyDescent="0.3">
      <c r="A35" t="s">
        <v>100</v>
      </c>
      <c r="B35">
        <v>2026</v>
      </c>
      <c r="C35" t="s">
        <v>53</v>
      </c>
      <c r="D35" t="s">
        <v>29</v>
      </c>
      <c r="E35" t="s">
        <v>101</v>
      </c>
      <c r="F35" t="s">
        <v>31</v>
      </c>
      <c r="G35" t="s">
        <v>24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0"/>
        <v>2</v>
      </c>
      <c r="U35">
        <f t="shared" si="1"/>
        <v>0</v>
      </c>
      <c r="V35" t="b">
        <f t="shared" si="2"/>
        <v>0</v>
      </c>
    </row>
    <row r="36" spans="1:22" x14ac:dyDescent="0.3">
      <c r="A36" t="s">
        <v>102</v>
      </c>
      <c r="B36">
        <v>2026</v>
      </c>
      <c r="C36" t="s">
        <v>33</v>
      </c>
      <c r="D36" t="s">
        <v>21</v>
      </c>
      <c r="E36" t="s">
        <v>103</v>
      </c>
      <c r="F36" t="s">
        <v>35</v>
      </c>
      <c r="G36" t="s">
        <v>24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0"/>
        <v>2</v>
      </c>
      <c r="U36">
        <f t="shared" si="1"/>
        <v>0</v>
      </c>
      <c r="V36" t="b">
        <f t="shared" si="2"/>
        <v>0</v>
      </c>
    </row>
    <row r="37" spans="1:22" x14ac:dyDescent="0.3">
      <c r="A37" t="s">
        <v>104</v>
      </c>
      <c r="B37">
        <v>2026</v>
      </c>
      <c r="C37" t="s">
        <v>53</v>
      </c>
      <c r="D37" t="s">
        <v>29</v>
      </c>
      <c r="E37" t="s">
        <v>105</v>
      </c>
      <c r="F37" t="s">
        <v>31</v>
      </c>
      <c r="G37" t="s">
        <v>24</v>
      </c>
      <c r="H37">
        <v>0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f t="shared" si="0"/>
        <v>3</v>
      </c>
      <c r="U37">
        <f t="shared" si="1"/>
        <v>1</v>
      </c>
      <c r="V37" t="b">
        <f t="shared" si="2"/>
        <v>0</v>
      </c>
    </row>
    <row r="38" spans="1:22" x14ac:dyDescent="0.3">
      <c r="A38" t="s">
        <v>106</v>
      </c>
      <c r="B38">
        <v>2026</v>
      </c>
      <c r="C38" t="s">
        <v>107</v>
      </c>
      <c r="D38" t="s">
        <v>21</v>
      </c>
      <c r="E38" t="s">
        <v>108</v>
      </c>
      <c r="F38" t="s">
        <v>23</v>
      </c>
      <c r="G38" t="s">
        <v>24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0"/>
        <v>2</v>
      </c>
      <c r="U38">
        <f t="shared" si="1"/>
        <v>0</v>
      </c>
      <c r="V38" t="b">
        <f t="shared" si="2"/>
        <v>0</v>
      </c>
    </row>
    <row r="39" spans="1:22" x14ac:dyDescent="0.3">
      <c r="A39" t="s">
        <v>109</v>
      </c>
      <c r="B39">
        <v>2026</v>
      </c>
      <c r="C39" t="s">
        <v>53</v>
      </c>
      <c r="D39" t="s">
        <v>29</v>
      </c>
      <c r="E39" t="s">
        <v>110</v>
      </c>
      <c r="F39" t="s">
        <v>31</v>
      </c>
      <c r="G39" t="s">
        <v>24</v>
      </c>
      <c r="H39">
        <v>1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0"/>
        <v>4</v>
      </c>
      <c r="U39">
        <f t="shared" si="1"/>
        <v>0</v>
      </c>
      <c r="V39" t="b">
        <f t="shared" si="2"/>
        <v>0</v>
      </c>
    </row>
    <row r="40" spans="1:22" x14ac:dyDescent="0.3">
      <c r="A40" t="s">
        <v>111</v>
      </c>
      <c r="B40">
        <v>2026</v>
      </c>
      <c r="C40" t="s">
        <v>112</v>
      </c>
      <c r="D40" t="s">
        <v>29</v>
      </c>
      <c r="E40" t="s">
        <v>113</v>
      </c>
      <c r="F40" t="s">
        <v>31</v>
      </c>
      <c r="G40" t="s">
        <v>24</v>
      </c>
      <c r="H40">
        <v>0</v>
      </c>
      <c r="I40">
        <v>1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f t="shared" si="0"/>
        <v>3</v>
      </c>
      <c r="U40">
        <f t="shared" si="1"/>
        <v>1</v>
      </c>
      <c r="V40" t="b">
        <f t="shared" si="2"/>
        <v>0</v>
      </c>
    </row>
    <row r="41" spans="1:22" x14ac:dyDescent="0.3">
      <c r="A41" t="s">
        <v>114</v>
      </c>
      <c r="B41">
        <v>2026</v>
      </c>
      <c r="C41" t="s">
        <v>53</v>
      </c>
      <c r="D41" t="s">
        <v>29</v>
      </c>
      <c r="E41" t="s">
        <v>115</v>
      </c>
      <c r="F41" t="s">
        <v>31</v>
      </c>
      <c r="G41" t="s">
        <v>24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f t="shared" si="0"/>
        <v>4</v>
      </c>
      <c r="U41">
        <f t="shared" si="1"/>
        <v>1</v>
      </c>
      <c r="V41" t="b">
        <f t="shared" si="2"/>
        <v>0</v>
      </c>
    </row>
    <row r="42" spans="1:22" x14ac:dyDescent="0.3">
      <c r="A42" t="s">
        <v>116</v>
      </c>
      <c r="B42">
        <v>2026</v>
      </c>
      <c r="C42" t="s">
        <v>53</v>
      </c>
      <c r="D42" t="s">
        <v>29</v>
      </c>
      <c r="E42" t="s">
        <v>117</v>
      </c>
      <c r="F42" t="s">
        <v>31</v>
      </c>
      <c r="G42" t="s">
        <v>24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f t="shared" si="0"/>
        <v>3</v>
      </c>
      <c r="U42">
        <f t="shared" si="1"/>
        <v>1</v>
      </c>
      <c r="V42" t="b">
        <f t="shared" si="2"/>
        <v>0</v>
      </c>
    </row>
    <row r="43" spans="1:22" x14ac:dyDescent="0.3">
      <c r="A43" t="s">
        <v>118</v>
      </c>
      <c r="B43">
        <v>2026</v>
      </c>
      <c r="C43" t="s">
        <v>28</v>
      </c>
      <c r="D43" t="s">
        <v>29</v>
      </c>
      <c r="E43" t="s">
        <v>119</v>
      </c>
      <c r="F43" t="s">
        <v>31</v>
      </c>
      <c r="G43" t="s">
        <v>24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0"/>
        <v>2</v>
      </c>
      <c r="U43">
        <f t="shared" si="1"/>
        <v>0</v>
      </c>
      <c r="V43" t="b">
        <f t="shared" si="2"/>
        <v>0</v>
      </c>
    </row>
    <row r="44" spans="1:22" x14ac:dyDescent="0.3">
      <c r="A44" t="s">
        <v>120</v>
      </c>
      <c r="B44">
        <v>2026</v>
      </c>
      <c r="C44" t="s">
        <v>20</v>
      </c>
      <c r="D44" t="s">
        <v>21</v>
      </c>
      <c r="E44" t="s">
        <v>121</v>
      </c>
      <c r="F44" t="s">
        <v>23</v>
      </c>
      <c r="G44" t="s">
        <v>24</v>
      </c>
      <c r="H44">
        <v>1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0"/>
        <v>3</v>
      </c>
      <c r="U44">
        <f t="shared" si="1"/>
        <v>0</v>
      </c>
      <c r="V44" t="b">
        <f t="shared" si="2"/>
        <v>0</v>
      </c>
    </row>
    <row r="45" spans="1:22" x14ac:dyDescent="0.3">
      <c r="A45" t="s">
        <v>122</v>
      </c>
      <c r="B45">
        <v>2026</v>
      </c>
      <c r="C45" t="s">
        <v>33</v>
      </c>
      <c r="D45" t="s">
        <v>21</v>
      </c>
      <c r="E45" t="s">
        <v>123</v>
      </c>
      <c r="F45" t="s">
        <v>35</v>
      </c>
      <c r="G45" t="s">
        <v>24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0"/>
        <v>2</v>
      </c>
      <c r="U45">
        <f t="shared" si="1"/>
        <v>0</v>
      </c>
      <c r="V45" t="b">
        <f t="shared" si="2"/>
        <v>0</v>
      </c>
    </row>
    <row r="46" spans="1:22" x14ac:dyDescent="0.3">
      <c r="A46" t="s">
        <v>124</v>
      </c>
      <c r="B46">
        <v>2026</v>
      </c>
      <c r="C46" t="s">
        <v>28</v>
      </c>
      <c r="D46" t="s">
        <v>29</v>
      </c>
      <c r="E46" t="s">
        <v>125</v>
      </c>
      <c r="F46" t="s">
        <v>31</v>
      </c>
      <c r="G46" t="s">
        <v>24</v>
      </c>
      <c r="H46">
        <v>0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f t="shared" si="0"/>
        <v>3</v>
      </c>
      <c r="U46">
        <f t="shared" si="1"/>
        <v>1</v>
      </c>
      <c r="V46" t="b">
        <f t="shared" si="2"/>
        <v>0</v>
      </c>
    </row>
    <row r="47" spans="1:22" x14ac:dyDescent="0.3">
      <c r="A47" t="s">
        <v>126</v>
      </c>
      <c r="B47">
        <v>2026</v>
      </c>
      <c r="C47" t="s">
        <v>28</v>
      </c>
      <c r="D47" t="s">
        <v>29</v>
      </c>
      <c r="E47" t="s">
        <v>127</v>
      </c>
      <c r="F47" t="s">
        <v>31</v>
      </c>
      <c r="G47" t="s">
        <v>24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f t="shared" si="0"/>
        <v>3</v>
      </c>
      <c r="U47">
        <f t="shared" si="1"/>
        <v>1</v>
      </c>
      <c r="V47" t="b">
        <f t="shared" si="2"/>
        <v>0</v>
      </c>
    </row>
    <row r="48" spans="1:22" x14ac:dyDescent="0.3">
      <c r="A48" t="s">
        <v>128</v>
      </c>
      <c r="B48">
        <v>2026</v>
      </c>
      <c r="C48" t="s">
        <v>129</v>
      </c>
      <c r="D48" t="s">
        <v>130</v>
      </c>
      <c r="E48" t="s">
        <v>131</v>
      </c>
      <c r="F48" t="s">
        <v>39</v>
      </c>
      <c r="G48" t="s">
        <v>24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f t="shared" si="0"/>
        <v>6</v>
      </c>
      <c r="U48">
        <f t="shared" si="1"/>
        <v>0</v>
      </c>
      <c r="V48" t="b">
        <f t="shared" si="2"/>
        <v>1</v>
      </c>
    </row>
    <row r="49" spans="1:22" x14ac:dyDescent="0.3">
      <c r="A49" t="s">
        <v>132</v>
      </c>
      <c r="B49">
        <v>2026</v>
      </c>
      <c r="C49" t="s">
        <v>133</v>
      </c>
      <c r="D49" t="s">
        <v>29</v>
      </c>
      <c r="E49" t="s">
        <v>134</v>
      </c>
      <c r="F49" t="s">
        <v>39</v>
      </c>
      <c r="G49" t="s">
        <v>24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f t="shared" si="0"/>
        <v>5</v>
      </c>
      <c r="U49">
        <f t="shared" si="1"/>
        <v>0</v>
      </c>
      <c r="V49" t="b">
        <f t="shared" si="2"/>
        <v>1</v>
      </c>
    </row>
    <row r="50" spans="1:22" x14ac:dyDescent="0.3">
      <c r="A50" t="s">
        <v>135</v>
      </c>
      <c r="B50">
        <v>2026</v>
      </c>
      <c r="C50" t="s">
        <v>129</v>
      </c>
      <c r="D50" t="s">
        <v>130</v>
      </c>
      <c r="E50" t="s">
        <v>136</v>
      </c>
      <c r="F50" t="s">
        <v>39</v>
      </c>
      <c r="G50" t="s">
        <v>24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f t="shared" si="0"/>
        <v>4</v>
      </c>
      <c r="U50">
        <f t="shared" si="1"/>
        <v>1</v>
      </c>
      <c r="V50" t="b">
        <f t="shared" si="2"/>
        <v>0</v>
      </c>
    </row>
    <row r="51" spans="1:22" x14ac:dyDescent="0.3">
      <c r="A51" t="s">
        <v>137</v>
      </c>
      <c r="B51">
        <v>2026</v>
      </c>
      <c r="C51" t="s">
        <v>138</v>
      </c>
      <c r="D51" t="s">
        <v>29</v>
      </c>
      <c r="E51" t="s">
        <v>139</v>
      </c>
      <c r="F51" t="s">
        <v>39</v>
      </c>
      <c r="G51" t="s">
        <v>24</v>
      </c>
      <c r="H51">
        <v>0</v>
      </c>
      <c r="I51">
        <v>0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f t="shared" si="0"/>
        <v>3</v>
      </c>
      <c r="U51">
        <f t="shared" si="1"/>
        <v>0</v>
      </c>
      <c r="V51" t="b">
        <f t="shared" si="2"/>
        <v>0</v>
      </c>
    </row>
    <row r="52" spans="1:22" x14ac:dyDescent="0.3">
      <c r="A52" t="s">
        <v>140</v>
      </c>
      <c r="B52">
        <v>2026</v>
      </c>
      <c r="C52" t="s">
        <v>141</v>
      </c>
      <c r="D52" t="s">
        <v>29</v>
      </c>
      <c r="E52" t="s">
        <v>142</v>
      </c>
      <c r="F52" t="s">
        <v>39</v>
      </c>
      <c r="G52" t="s">
        <v>24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0"/>
        <v>2</v>
      </c>
      <c r="U52">
        <f t="shared" si="1"/>
        <v>0</v>
      </c>
      <c r="V52" t="b">
        <f t="shared" si="2"/>
        <v>0</v>
      </c>
    </row>
    <row r="53" spans="1:22" x14ac:dyDescent="0.3">
      <c r="A53" t="s">
        <v>143</v>
      </c>
      <c r="B53">
        <v>2026</v>
      </c>
      <c r="C53" t="s">
        <v>133</v>
      </c>
      <c r="D53" t="s">
        <v>29</v>
      </c>
      <c r="E53" t="s">
        <v>144</v>
      </c>
      <c r="F53" t="s">
        <v>39</v>
      </c>
      <c r="G53" t="s">
        <v>24</v>
      </c>
      <c r="H53">
        <v>1</v>
      </c>
      <c r="I53">
        <v>0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0"/>
        <v>4</v>
      </c>
      <c r="U53">
        <f t="shared" si="1"/>
        <v>0</v>
      </c>
      <c r="V53" t="b">
        <f t="shared" si="2"/>
        <v>0</v>
      </c>
    </row>
    <row r="54" spans="1:22" x14ac:dyDescent="0.3">
      <c r="A54" t="s">
        <v>145</v>
      </c>
      <c r="B54">
        <v>2026</v>
      </c>
      <c r="C54" t="s">
        <v>129</v>
      </c>
      <c r="D54" t="s">
        <v>130</v>
      </c>
      <c r="E54" t="s">
        <v>146</v>
      </c>
      <c r="F54" t="s">
        <v>39</v>
      </c>
      <c r="G54" t="s">
        <v>24</v>
      </c>
      <c r="H54">
        <v>0</v>
      </c>
      <c r="I54">
        <v>1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f t="shared" si="0"/>
        <v>3</v>
      </c>
      <c r="U54">
        <f t="shared" si="1"/>
        <v>1</v>
      </c>
      <c r="V54" t="b">
        <f t="shared" si="2"/>
        <v>0</v>
      </c>
    </row>
    <row r="55" spans="1:22" x14ac:dyDescent="0.3">
      <c r="A55" t="s">
        <v>147</v>
      </c>
      <c r="B55">
        <v>2026</v>
      </c>
      <c r="C55" t="s">
        <v>129</v>
      </c>
      <c r="D55" t="s">
        <v>29</v>
      </c>
      <c r="E55" t="s">
        <v>148</v>
      </c>
      <c r="F55" t="s">
        <v>39</v>
      </c>
      <c r="G55" t="s">
        <v>24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f t="shared" si="0"/>
        <v>3</v>
      </c>
      <c r="U55">
        <f t="shared" si="1"/>
        <v>0</v>
      </c>
      <c r="V55" t="b">
        <f t="shared" si="2"/>
        <v>0</v>
      </c>
    </row>
    <row r="56" spans="1:22" x14ac:dyDescent="0.3">
      <c r="A56" t="s">
        <v>149</v>
      </c>
      <c r="B56">
        <v>2026</v>
      </c>
      <c r="C56" t="s">
        <v>133</v>
      </c>
      <c r="D56" t="s">
        <v>29</v>
      </c>
      <c r="E56" t="s">
        <v>150</v>
      </c>
      <c r="F56" t="s">
        <v>39</v>
      </c>
      <c r="G56" t="s">
        <v>24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f t="shared" si="0"/>
        <v>5</v>
      </c>
      <c r="U56">
        <f t="shared" si="1"/>
        <v>1</v>
      </c>
      <c r="V56" t="b">
        <f t="shared" si="2"/>
        <v>1</v>
      </c>
    </row>
    <row r="57" spans="1:22" x14ac:dyDescent="0.3">
      <c r="A57" t="s">
        <v>151</v>
      </c>
      <c r="B57">
        <v>2026</v>
      </c>
      <c r="C57" t="s">
        <v>133</v>
      </c>
      <c r="D57" t="s">
        <v>29</v>
      </c>
      <c r="E57" t="s">
        <v>152</v>
      </c>
      <c r="F57" t="s">
        <v>39</v>
      </c>
      <c r="G57" t="s">
        <v>24</v>
      </c>
      <c r="H57">
        <v>1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0"/>
        <v>3</v>
      </c>
      <c r="U57">
        <f t="shared" si="1"/>
        <v>0</v>
      </c>
      <c r="V57" t="b">
        <f t="shared" si="2"/>
        <v>0</v>
      </c>
    </row>
    <row r="58" spans="1:22" x14ac:dyDescent="0.3">
      <c r="A58" t="s">
        <v>153</v>
      </c>
      <c r="B58">
        <v>2026</v>
      </c>
      <c r="C58" t="s">
        <v>154</v>
      </c>
      <c r="D58" t="s">
        <v>21</v>
      </c>
      <c r="E58" t="s">
        <v>155</v>
      </c>
      <c r="F58" t="s">
        <v>23</v>
      </c>
      <c r="G58" t="s">
        <v>24</v>
      </c>
      <c r="H58">
        <v>1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f t="shared" si="0"/>
        <v>3</v>
      </c>
      <c r="U58">
        <f t="shared" si="1"/>
        <v>0</v>
      </c>
      <c r="V58" t="b">
        <f t="shared" si="2"/>
        <v>0</v>
      </c>
    </row>
    <row r="59" spans="1:22" x14ac:dyDescent="0.3">
      <c r="A59" t="s">
        <v>156</v>
      </c>
      <c r="B59">
        <v>2026</v>
      </c>
      <c r="C59" t="s">
        <v>133</v>
      </c>
      <c r="D59" t="s">
        <v>29</v>
      </c>
      <c r="E59" t="s">
        <v>157</v>
      </c>
      <c r="F59" t="s">
        <v>39</v>
      </c>
      <c r="G59" t="s">
        <v>24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0"/>
        <v>6</v>
      </c>
      <c r="U59">
        <f t="shared" si="1"/>
        <v>0</v>
      </c>
      <c r="V59" t="b">
        <f t="shared" si="2"/>
        <v>1</v>
      </c>
    </row>
    <row r="60" spans="1:22" x14ac:dyDescent="0.3">
      <c r="A60" t="s">
        <v>158</v>
      </c>
      <c r="B60">
        <v>2026</v>
      </c>
      <c r="C60" t="s">
        <v>133</v>
      </c>
      <c r="D60" t="s">
        <v>29</v>
      </c>
      <c r="E60" t="s">
        <v>159</v>
      </c>
      <c r="F60" t="s">
        <v>39</v>
      </c>
      <c r="G60" t="s">
        <v>24</v>
      </c>
      <c r="H60">
        <v>1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f t="shared" si="0"/>
        <v>3</v>
      </c>
      <c r="U60">
        <f t="shared" si="1"/>
        <v>0</v>
      </c>
      <c r="V60" t="b">
        <f t="shared" si="2"/>
        <v>0</v>
      </c>
    </row>
    <row r="61" spans="1:22" x14ac:dyDescent="0.3">
      <c r="A61" t="s">
        <v>160</v>
      </c>
      <c r="B61">
        <v>2026</v>
      </c>
      <c r="C61" t="s">
        <v>161</v>
      </c>
      <c r="D61" t="s">
        <v>21</v>
      </c>
      <c r="E61" t="s">
        <v>162</v>
      </c>
      <c r="F61" t="s">
        <v>35</v>
      </c>
      <c r="G61" t="s">
        <v>24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0"/>
        <v>5</v>
      </c>
      <c r="U61">
        <f t="shared" si="1"/>
        <v>0</v>
      </c>
      <c r="V61" t="b">
        <f t="shared" si="2"/>
        <v>1</v>
      </c>
    </row>
    <row r="62" spans="1:22" x14ac:dyDescent="0.3">
      <c r="A62" t="s">
        <v>163</v>
      </c>
      <c r="B62">
        <v>2026</v>
      </c>
      <c r="C62" t="s">
        <v>133</v>
      </c>
      <c r="D62" t="s">
        <v>29</v>
      </c>
      <c r="E62" t="s">
        <v>164</v>
      </c>
      <c r="F62" t="s">
        <v>39</v>
      </c>
      <c r="G62" t="s">
        <v>24</v>
      </c>
      <c r="H62">
        <v>1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0"/>
        <v>3</v>
      </c>
      <c r="U62">
        <f t="shared" si="1"/>
        <v>0</v>
      </c>
      <c r="V62" t="b">
        <f t="shared" si="2"/>
        <v>0</v>
      </c>
    </row>
    <row r="63" spans="1:22" x14ac:dyDescent="0.3">
      <c r="A63" t="s">
        <v>165</v>
      </c>
      <c r="B63">
        <v>2026</v>
      </c>
      <c r="C63" t="s">
        <v>129</v>
      </c>
      <c r="D63" t="s">
        <v>29</v>
      </c>
      <c r="E63" t="s">
        <v>166</v>
      </c>
      <c r="F63" t="s">
        <v>39</v>
      </c>
      <c r="G63" t="s">
        <v>24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0"/>
        <v>2</v>
      </c>
      <c r="U63">
        <f t="shared" si="1"/>
        <v>0</v>
      </c>
      <c r="V63" t="b">
        <f t="shared" si="2"/>
        <v>0</v>
      </c>
    </row>
    <row r="64" spans="1:22" x14ac:dyDescent="0.3">
      <c r="A64" t="s">
        <v>167</v>
      </c>
      <c r="B64">
        <v>2026</v>
      </c>
      <c r="C64" t="s">
        <v>168</v>
      </c>
      <c r="D64" t="s">
        <v>130</v>
      </c>
      <c r="E64" t="s">
        <v>169</v>
      </c>
      <c r="F64" t="s">
        <v>39</v>
      </c>
      <c r="G64" t="s">
        <v>24</v>
      </c>
      <c r="H64">
        <v>0</v>
      </c>
      <c r="I64">
        <v>0</v>
      </c>
      <c r="J64">
        <v>1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f t="shared" si="0"/>
        <v>3</v>
      </c>
      <c r="U64">
        <f t="shared" si="1"/>
        <v>0</v>
      </c>
      <c r="V64" t="b">
        <f t="shared" si="2"/>
        <v>0</v>
      </c>
    </row>
    <row r="65" spans="1:22" x14ac:dyDescent="0.3">
      <c r="A65" t="s">
        <v>170</v>
      </c>
      <c r="B65">
        <v>2026</v>
      </c>
      <c r="C65" t="s">
        <v>171</v>
      </c>
      <c r="D65" t="s">
        <v>172</v>
      </c>
      <c r="E65" t="s">
        <v>173</v>
      </c>
      <c r="F65" t="s">
        <v>31</v>
      </c>
      <c r="G65" t="s">
        <v>24</v>
      </c>
      <c r="H65">
        <v>1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0"/>
        <v>4</v>
      </c>
      <c r="U65">
        <f t="shared" si="1"/>
        <v>0</v>
      </c>
      <c r="V65" t="b">
        <f t="shared" si="2"/>
        <v>0</v>
      </c>
    </row>
    <row r="66" spans="1:22" x14ac:dyDescent="0.3">
      <c r="A66" t="s">
        <v>174</v>
      </c>
      <c r="B66">
        <v>2026</v>
      </c>
      <c r="C66" t="s">
        <v>175</v>
      </c>
      <c r="D66" t="s">
        <v>29</v>
      </c>
      <c r="E66" t="s">
        <v>176</v>
      </c>
      <c r="F66" t="s">
        <v>31</v>
      </c>
      <c r="G66" t="s">
        <v>24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f t="shared" si="0"/>
        <v>3</v>
      </c>
      <c r="U66">
        <f t="shared" si="1"/>
        <v>1</v>
      </c>
      <c r="V66" t="b">
        <f t="shared" si="2"/>
        <v>0</v>
      </c>
    </row>
    <row r="67" spans="1:22" x14ac:dyDescent="0.3">
      <c r="A67" t="s">
        <v>177</v>
      </c>
      <c r="B67">
        <v>2026</v>
      </c>
      <c r="C67" t="s">
        <v>178</v>
      </c>
      <c r="D67" t="s">
        <v>29</v>
      </c>
      <c r="E67" t="s">
        <v>179</v>
      </c>
      <c r="F67" t="s">
        <v>31</v>
      </c>
      <c r="G67" t="s">
        <v>24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ref="T67:T130" si="3">SUM(H67:M67)</f>
        <v>5</v>
      </c>
      <c r="U67">
        <f t="shared" ref="U67:U130" si="4">SUM(N67:R67)</f>
        <v>0</v>
      </c>
      <c r="V67" t="b">
        <f t="shared" ref="V67:V130" si="5">T67&gt;4</f>
        <v>1</v>
      </c>
    </row>
    <row r="68" spans="1:22" x14ac:dyDescent="0.3">
      <c r="A68" t="s">
        <v>180</v>
      </c>
      <c r="B68">
        <v>2026</v>
      </c>
      <c r="C68" t="s">
        <v>181</v>
      </c>
      <c r="D68" t="s">
        <v>29</v>
      </c>
      <c r="E68" t="s">
        <v>182</v>
      </c>
      <c r="F68" t="s">
        <v>31</v>
      </c>
      <c r="G68" t="s">
        <v>24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f t="shared" si="3"/>
        <v>3</v>
      </c>
      <c r="U68">
        <f t="shared" si="4"/>
        <v>1</v>
      </c>
      <c r="V68" t="b">
        <f t="shared" si="5"/>
        <v>0</v>
      </c>
    </row>
    <row r="69" spans="1:22" x14ac:dyDescent="0.3">
      <c r="A69" t="s">
        <v>183</v>
      </c>
      <c r="B69">
        <v>2026</v>
      </c>
      <c r="C69" t="s">
        <v>184</v>
      </c>
      <c r="D69" t="s">
        <v>29</v>
      </c>
      <c r="E69" t="s">
        <v>185</v>
      </c>
      <c r="F69" t="s">
        <v>31</v>
      </c>
      <c r="G69" t="s">
        <v>24</v>
      </c>
      <c r="H69">
        <v>0</v>
      </c>
      <c r="I69">
        <v>1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f t="shared" si="3"/>
        <v>3</v>
      </c>
      <c r="U69">
        <f t="shared" si="4"/>
        <v>1</v>
      </c>
      <c r="V69" t="b">
        <f t="shared" si="5"/>
        <v>0</v>
      </c>
    </row>
    <row r="70" spans="1:22" x14ac:dyDescent="0.3">
      <c r="A70" t="s">
        <v>186</v>
      </c>
      <c r="B70">
        <v>2026</v>
      </c>
      <c r="C70" t="s">
        <v>187</v>
      </c>
      <c r="D70" t="s">
        <v>21</v>
      </c>
      <c r="E70" t="s">
        <v>188</v>
      </c>
      <c r="F70" t="s">
        <v>23</v>
      </c>
      <c r="G70" t="s">
        <v>24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3"/>
        <v>2</v>
      </c>
      <c r="U70">
        <f t="shared" si="4"/>
        <v>0</v>
      </c>
      <c r="V70" t="b">
        <f t="shared" si="5"/>
        <v>0</v>
      </c>
    </row>
    <row r="71" spans="1:22" x14ac:dyDescent="0.3">
      <c r="A71" t="s">
        <v>189</v>
      </c>
      <c r="B71">
        <v>2026</v>
      </c>
      <c r="C71" t="s">
        <v>190</v>
      </c>
      <c r="D71" t="s">
        <v>29</v>
      </c>
      <c r="E71" t="s">
        <v>191</v>
      </c>
      <c r="F71" t="s">
        <v>39</v>
      </c>
      <c r="G71" t="s">
        <v>24</v>
      </c>
      <c r="H71">
        <v>1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3"/>
        <v>3</v>
      </c>
      <c r="U71">
        <f t="shared" si="4"/>
        <v>0</v>
      </c>
      <c r="V71" t="b">
        <f t="shared" si="5"/>
        <v>0</v>
      </c>
    </row>
    <row r="72" spans="1:22" x14ac:dyDescent="0.3">
      <c r="A72" t="s">
        <v>192</v>
      </c>
      <c r="B72">
        <v>2026</v>
      </c>
      <c r="C72" t="s">
        <v>184</v>
      </c>
      <c r="D72" t="s">
        <v>29</v>
      </c>
      <c r="E72" t="s">
        <v>193</v>
      </c>
      <c r="F72" t="s">
        <v>31</v>
      </c>
      <c r="G72" t="s">
        <v>24</v>
      </c>
      <c r="H72">
        <v>0</v>
      </c>
      <c r="I72">
        <v>1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f t="shared" si="3"/>
        <v>3</v>
      </c>
      <c r="U72">
        <f t="shared" si="4"/>
        <v>1</v>
      </c>
      <c r="V72" t="b">
        <f t="shared" si="5"/>
        <v>0</v>
      </c>
    </row>
    <row r="73" spans="1:22" x14ac:dyDescent="0.3">
      <c r="A73" t="s">
        <v>194</v>
      </c>
      <c r="B73">
        <v>2026</v>
      </c>
      <c r="C73" t="s">
        <v>195</v>
      </c>
      <c r="D73" t="s">
        <v>29</v>
      </c>
      <c r="E73" t="s">
        <v>196</v>
      </c>
      <c r="F73" t="s">
        <v>39</v>
      </c>
      <c r="G73" t="s">
        <v>24</v>
      </c>
      <c r="H73">
        <v>0</v>
      </c>
      <c r="I73">
        <v>1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f t="shared" si="3"/>
        <v>3</v>
      </c>
      <c r="U73">
        <f t="shared" si="4"/>
        <v>1</v>
      </c>
      <c r="V73" t="b">
        <f t="shared" si="5"/>
        <v>0</v>
      </c>
    </row>
    <row r="74" spans="1:22" x14ac:dyDescent="0.3">
      <c r="A74" t="s">
        <v>197</v>
      </c>
      <c r="B74">
        <v>2026</v>
      </c>
      <c r="C74" t="s">
        <v>184</v>
      </c>
      <c r="D74" t="s">
        <v>29</v>
      </c>
      <c r="E74" t="s">
        <v>198</v>
      </c>
      <c r="F74" t="s">
        <v>31</v>
      </c>
      <c r="G74" t="s">
        <v>24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f t="shared" si="3"/>
        <v>2</v>
      </c>
      <c r="U74">
        <f t="shared" si="4"/>
        <v>0</v>
      </c>
      <c r="V74" t="b">
        <f t="shared" si="5"/>
        <v>0</v>
      </c>
    </row>
    <row r="75" spans="1:22" x14ac:dyDescent="0.3">
      <c r="A75" t="s">
        <v>199</v>
      </c>
      <c r="B75">
        <v>2026</v>
      </c>
      <c r="C75" t="s">
        <v>200</v>
      </c>
      <c r="D75" t="s">
        <v>29</v>
      </c>
      <c r="E75" t="s">
        <v>201</v>
      </c>
      <c r="F75" t="s">
        <v>39</v>
      </c>
      <c r="G75" t="s">
        <v>24</v>
      </c>
      <c r="H75">
        <v>1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3"/>
        <v>3</v>
      </c>
      <c r="U75">
        <f t="shared" si="4"/>
        <v>0</v>
      </c>
      <c r="V75" t="b">
        <f t="shared" si="5"/>
        <v>0</v>
      </c>
    </row>
    <row r="76" spans="1:22" x14ac:dyDescent="0.3">
      <c r="A76" t="s">
        <v>202</v>
      </c>
      <c r="B76">
        <v>2026</v>
      </c>
      <c r="C76" t="s">
        <v>203</v>
      </c>
      <c r="D76" t="s">
        <v>29</v>
      </c>
      <c r="E76" t="s">
        <v>204</v>
      </c>
      <c r="F76" t="s">
        <v>31</v>
      </c>
      <c r="G76" t="s">
        <v>24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f t="shared" si="3"/>
        <v>2</v>
      </c>
      <c r="U76">
        <f t="shared" si="4"/>
        <v>0</v>
      </c>
      <c r="V76" t="b">
        <f t="shared" si="5"/>
        <v>0</v>
      </c>
    </row>
    <row r="77" spans="1:22" x14ac:dyDescent="0.3">
      <c r="A77" t="s">
        <v>205</v>
      </c>
      <c r="B77">
        <v>2026</v>
      </c>
      <c r="C77" t="s">
        <v>206</v>
      </c>
      <c r="D77" t="s">
        <v>29</v>
      </c>
      <c r="E77" t="s">
        <v>207</v>
      </c>
      <c r="F77" t="s">
        <v>39</v>
      </c>
      <c r="G77" t="s">
        <v>24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f t="shared" si="3"/>
        <v>3</v>
      </c>
      <c r="U77">
        <f t="shared" si="4"/>
        <v>0</v>
      </c>
      <c r="V77" t="b">
        <f t="shared" si="5"/>
        <v>0</v>
      </c>
    </row>
    <row r="78" spans="1:22" x14ac:dyDescent="0.3">
      <c r="A78" t="s">
        <v>208</v>
      </c>
      <c r="B78">
        <v>2026</v>
      </c>
      <c r="C78" t="s">
        <v>209</v>
      </c>
      <c r="D78" t="s">
        <v>29</v>
      </c>
      <c r="E78" t="s">
        <v>210</v>
      </c>
      <c r="F78" t="s">
        <v>39</v>
      </c>
      <c r="G78" t="s">
        <v>24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3"/>
        <v>2</v>
      </c>
      <c r="U78">
        <f t="shared" si="4"/>
        <v>0</v>
      </c>
      <c r="V78" t="b">
        <f t="shared" si="5"/>
        <v>0</v>
      </c>
    </row>
    <row r="79" spans="1:22" x14ac:dyDescent="0.3">
      <c r="A79" t="s">
        <v>211</v>
      </c>
      <c r="B79">
        <v>2026</v>
      </c>
      <c r="C79" t="s">
        <v>212</v>
      </c>
      <c r="D79" t="s">
        <v>29</v>
      </c>
      <c r="E79" t="s">
        <v>213</v>
      </c>
      <c r="F79" t="s">
        <v>39</v>
      </c>
      <c r="G79" t="s">
        <v>24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3"/>
        <v>2</v>
      </c>
      <c r="U79">
        <f t="shared" si="4"/>
        <v>0</v>
      </c>
      <c r="V79" t="b">
        <f t="shared" si="5"/>
        <v>0</v>
      </c>
    </row>
    <row r="80" spans="1:22" x14ac:dyDescent="0.3">
      <c r="A80" t="s">
        <v>214</v>
      </c>
      <c r="B80">
        <v>2026</v>
      </c>
      <c r="C80" t="s">
        <v>215</v>
      </c>
      <c r="D80" t="s">
        <v>21</v>
      </c>
      <c r="E80" t="s">
        <v>216</v>
      </c>
      <c r="F80" t="s">
        <v>23</v>
      </c>
      <c r="G80" t="s">
        <v>24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3"/>
        <v>2</v>
      </c>
      <c r="U80">
        <f t="shared" si="4"/>
        <v>0</v>
      </c>
      <c r="V80" t="b">
        <f t="shared" si="5"/>
        <v>0</v>
      </c>
    </row>
    <row r="81" spans="1:22" x14ac:dyDescent="0.3">
      <c r="A81" t="s">
        <v>217</v>
      </c>
      <c r="B81">
        <v>2026</v>
      </c>
      <c r="C81" t="s">
        <v>218</v>
      </c>
      <c r="D81" t="s">
        <v>29</v>
      </c>
      <c r="E81" t="s">
        <v>219</v>
      </c>
      <c r="F81" t="s">
        <v>39</v>
      </c>
      <c r="G81" t="s">
        <v>24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3"/>
        <v>2</v>
      </c>
      <c r="U81">
        <f t="shared" si="4"/>
        <v>0</v>
      </c>
      <c r="V81" t="b">
        <f t="shared" si="5"/>
        <v>0</v>
      </c>
    </row>
    <row r="82" spans="1:22" x14ac:dyDescent="0.3">
      <c r="A82" t="s">
        <v>220</v>
      </c>
      <c r="B82">
        <v>2026</v>
      </c>
      <c r="C82" t="s">
        <v>221</v>
      </c>
      <c r="D82" t="s">
        <v>29</v>
      </c>
      <c r="E82" t="s">
        <v>222</v>
      </c>
      <c r="F82" t="s">
        <v>39</v>
      </c>
      <c r="G82" t="s">
        <v>24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3"/>
        <v>2</v>
      </c>
      <c r="U82">
        <f t="shared" si="4"/>
        <v>0</v>
      </c>
      <c r="V82" t="b">
        <f t="shared" si="5"/>
        <v>0</v>
      </c>
    </row>
    <row r="83" spans="1:22" x14ac:dyDescent="0.3">
      <c r="A83" t="s">
        <v>223</v>
      </c>
      <c r="B83">
        <v>2026</v>
      </c>
      <c r="C83" t="s">
        <v>200</v>
      </c>
      <c r="D83" t="s">
        <v>29</v>
      </c>
      <c r="E83" t="s">
        <v>224</v>
      </c>
      <c r="F83" t="s">
        <v>39</v>
      </c>
      <c r="G83" t="s">
        <v>24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3"/>
        <v>2</v>
      </c>
      <c r="U83">
        <f t="shared" si="4"/>
        <v>0</v>
      </c>
      <c r="V83" t="b">
        <f t="shared" si="5"/>
        <v>0</v>
      </c>
    </row>
    <row r="84" spans="1:22" x14ac:dyDescent="0.3">
      <c r="A84" t="s">
        <v>225</v>
      </c>
      <c r="B84">
        <v>2026</v>
      </c>
      <c r="C84" t="s">
        <v>226</v>
      </c>
      <c r="D84" t="s">
        <v>29</v>
      </c>
      <c r="E84" t="s">
        <v>227</v>
      </c>
      <c r="F84" t="s">
        <v>39</v>
      </c>
      <c r="G84" t="s">
        <v>24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3"/>
        <v>2</v>
      </c>
      <c r="U84">
        <f t="shared" si="4"/>
        <v>0</v>
      </c>
      <c r="V84" t="b">
        <f t="shared" si="5"/>
        <v>0</v>
      </c>
    </row>
    <row r="85" spans="1:22" x14ac:dyDescent="0.3">
      <c r="A85" t="s">
        <v>228</v>
      </c>
      <c r="B85">
        <v>2026</v>
      </c>
      <c r="C85" t="s">
        <v>212</v>
      </c>
      <c r="D85" t="s">
        <v>29</v>
      </c>
      <c r="E85" t="s">
        <v>229</v>
      </c>
      <c r="F85" t="s">
        <v>39</v>
      </c>
      <c r="G85" t="s">
        <v>24</v>
      </c>
      <c r="H85">
        <v>1</v>
      </c>
      <c r="I85">
        <v>0</v>
      </c>
      <c r="J85">
        <v>1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3"/>
        <v>4</v>
      </c>
      <c r="U85">
        <f t="shared" si="4"/>
        <v>0</v>
      </c>
      <c r="V85" t="b">
        <f t="shared" si="5"/>
        <v>0</v>
      </c>
    </row>
    <row r="86" spans="1:22" x14ac:dyDescent="0.3">
      <c r="A86" t="s">
        <v>230</v>
      </c>
      <c r="B86">
        <v>2026</v>
      </c>
      <c r="C86" t="s">
        <v>200</v>
      </c>
      <c r="D86" t="s">
        <v>29</v>
      </c>
      <c r="E86" t="s">
        <v>231</v>
      </c>
      <c r="F86" t="s">
        <v>39</v>
      </c>
      <c r="G86" t="s">
        <v>24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3"/>
        <v>2</v>
      </c>
      <c r="U86">
        <f t="shared" si="4"/>
        <v>0</v>
      </c>
      <c r="V86" t="b">
        <f t="shared" si="5"/>
        <v>0</v>
      </c>
    </row>
    <row r="87" spans="1:22" x14ac:dyDescent="0.3">
      <c r="A87" t="s">
        <v>232</v>
      </c>
      <c r="B87">
        <v>2026</v>
      </c>
      <c r="C87" t="s">
        <v>233</v>
      </c>
      <c r="D87" t="s">
        <v>29</v>
      </c>
      <c r="E87" t="s">
        <v>234</v>
      </c>
      <c r="F87" t="s">
        <v>39</v>
      </c>
      <c r="G87" t="s">
        <v>24</v>
      </c>
      <c r="H87">
        <v>1</v>
      </c>
      <c r="I87">
        <v>1</v>
      </c>
      <c r="J87">
        <v>0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3"/>
        <v>5</v>
      </c>
      <c r="U87">
        <f t="shared" si="4"/>
        <v>0</v>
      </c>
      <c r="V87" t="b">
        <f t="shared" si="5"/>
        <v>1</v>
      </c>
    </row>
    <row r="88" spans="1:22" x14ac:dyDescent="0.3">
      <c r="A88" t="s">
        <v>235</v>
      </c>
      <c r="B88">
        <v>2026</v>
      </c>
      <c r="C88" t="s">
        <v>236</v>
      </c>
      <c r="D88" t="s">
        <v>21</v>
      </c>
      <c r="E88" t="s">
        <v>237</v>
      </c>
      <c r="F88" t="s">
        <v>35</v>
      </c>
      <c r="G88" t="s">
        <v>24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3"/>
        <v>2</v>
      </c>
      <c r="U88">
        <f t="shared" si="4"/>
        <v>0</v>
      </c>
      <c r="V88" t="b">
        <f t="shared" si="5"/>
        <v>0</v>
      </c>
    </row>
    <row r="89" spans="1:22" x14ac:dyDescent="0.3">
      <c r="A89" t="s">
        <v>238</v>
      </c>
      <c r="B89">
        <v>2026</v>
      </c>
      <c r="C89" t="s">
        <v>200</v>
      </c>
      <c r="D89" t="s">
        <v>29</v>
      </c>
      <c r="E89" t="s">
        <v>239</v>
      </c>
      <c r="F89" t="s">
        <v>39</v>
      </c>
      <c r="G89" t="s">
        <v>24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f t="shared" si="3"/>
        <v>2</v>
      </c>
      <c r="U89">
        <f t="shared" si="4"/>
        <v>0</v>
      </c>
      <c r="V89" t="b">
        <f t="shared" si="5"/>
        <v>0</v>
      </c>
    </row>
    <row r="90" spans="1:22" x14ac:dyDescent="0.3">
      <c r="A90" t="s">
        <v>240</v>
      </c>
      <c r="B90">
        <v>2026</v>
      </c>
      <c r="C90" t="s">
        <v>200</v>
      </c>
      <c r="D90" t="s">
        <v>29</v>
      </c>
      <c r="E90" t="s">
        <v>241</v>
      </c>
      <c r="F90" t="s">
        <v>39</v>
      </c>
      <c r="G90" t="s">
        <v>24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f t="shared" si="3"/>
        <v>2</v>
      </c>
      <c r="U90">
        <f t="shared" si="4"/>
        <v>0</v>
      </c>
      <c r="V90" t="b">
        <f t="shared" si="5"/>
        <v>0</v>
      </c>
    </row>
    <row r="91" spans="1:22" x14ac:dyDescent="0.3">
      <c r="A91" t="s">
        <v>242</v>
      </c>
      <c r="B91">
        <v>2026</v>
      </c>
      <c r="C91" t="s">
        <v>243</v>
      </c>
      <c r="D91" t="s">
        <v>21</v>
      </c>
      <c r="E91" t="s">
        <v>244</v>
      </c>
      <c r="F91" t="s">
        <v>23</v>
      </c>
      <c r="G91" t="s">
        <v>24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f t="shared" si="3"/>
        <v>2</v>
      </c>
      <c r="U91">
        <f t="shared" si="4"/>
        <v>0</v>
      </c>
      <c r="V91" t="b">
        <f t="shared" si="5"/>
        <v>0</v>
      </c>
    </row>
    <row r="92" spans="1:22" x14ac:dyDescent="0.3">
      <c r="A92" t="s">
        <v>245</v>
      </c>
      <c r="B92">
        <v>2026</v>
      </c>
      <c r="C92" t="s">
        <v>246</v>
      </c>
      <c r="D92" t="s">
        <v>29</v>
      </c>
      <c r="E92" t="s">
        <v>247</v>
      </c>
      <c r="F92" t="s">
        <v>39</v>
      </c>
      <c r="G92" t="s">
        <v>24</v>
      </c>
      <c r="H92">
        <v>0</v>
      </c>
      <c r="I92">
        <v>1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f t="shared" si="3"/>
        <v>3</v>
      </c>
      <c r="U92">
        <f t="shared" si="4"/>
        <v>1</v>
      </c>
      <c r="V92" t="b">
        <f t="shared" si="5"/>
        <v>0</v>
      </c>
    </row>
    <row r="93" spans="1:22" x14ac:dyDescent="0.3">
      <c r="A93" t="s">
        <v>248</v>
      </c>
      <c r="B93">
        <v>2026</v>
      </c>
      <c r="C93" t="s">
        <v>249</v>
      </c>
      <c r="D93" t="s">
        <v>29</v>
      </c>
      <c r="E93" t="s">
        <v>250</v>
      </c>
      <c r="F93" t="s">
        <v>39</v>
      </c>
      <c r="G93" t="s">
        <v>24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f t="shared" si="3"/>
        <v>2</v>
      </c>
      <c r="U93">
        <f t="shared" si="4"/>
        <v>0</v>
      </c>
      <c r="V93" t="b">
        <f t="shared" si="5"/>
        <v>0</v>
      </c>
    </row>
    <row r="94" spans="1:22" x14ac:dyDescent="0.3">
      <c r="A94" t="s">
        <v>251</v>
      </c>
      <c r="B94">
        <v>2026</v>
      </c>
      <c r="C94" t="s">
        <v>212</v>
      </c>
      <c r="D94" t="s">
        <v>29</v>
      </c>
      <c r="E94" t="s">
        <v>252</v>
      </c>
      <c r="F94" t="s">
        <v>39</v>
      </c>
      <c r="G94" t="s">
        <v>24</v>
      </c>
      <c r="H94">
        <v>1</v>
      </c>
      <c r="I94">
        <v>0</v>
      </c>
      <c r="J94">
        <v>0</v>
      </c>
      <c r="K94">
        <v>0</v>
      </c>
      <c r="L94">
        <v>1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f t="shared" si="3"/>
        <v>3</v>
      </c>
      <c r="U94">
        <f t="shared" si="4"/>
        <v>0</v>
      </c>
      <c r="V94" t="b">
        <f t="shared" si="5"/>
        <v>0</v>
      </c>
    </row>
    <row r="95" spans="1:22" x14ac:dyDescent="0.3">
      <c r="A95" t="s">
        <v>253</v>
      </c>
      <c r="B95">
        <v>2026</v>
      </c>
      <c r="C95" t="s">
        <v>254</v>
      </c>
      <c r="D95" t="s">
        <v>21</v>
      </c>
      <c r="E95" t="s">
        <v>255</v>
      </c>
      <c r="F95" t="s">
        <v>23</v>
      </c>
      <c r="G95" t="s">
        <v>24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f t="shared" si="3"/>
        <v>2</v>
      </c>
      <c r="U95">
        <f t="shared" si="4"/>
        <v>0</v>
      </c>
      <c r="V95" t="b">
        <f t="shared" si="5"/>
        <v>0</v>
      </c>
    </row>
    <row r="96" spans="1:22" x14ac:dyDescent="0.3">
      <c r="A96" t="s">
        <v>256</v>
      </c>
      <c r="B96">
        <v>2026</v>
      </c>
      <c r="C96" t="s">
        <v>175</v>
      </c>
      <c r="D96" t="s">
        <v>29</v>
      </c>
      <c r="E96" t="s">
        <v>257</v>
      </c>
      <c r="F96" t="s">
        <v>31</v>
      </c>
      <c r="G96" t="s">
        <v>24</v>
      </c>
      <c r="H96">
        <v>1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f t="shared" si="3"/>
        <v>3</v>
      </c>
      <c r="U96">
        <f t="shared" si="4"/>
        <v>0</v>
      </c>
      <c r="V96" t="b">
        <f t="shared" si="5"/>
        <v>0</v>
      </c>
    </row>
    <row r="97" spans="1:22" x14ac:dyDescent="0.3">
      <c r="A97" t="s">
        <v>258</v>
      </c>
      <c r="B97">
        <v>2026</v>
      </c>
      <c r="C97" t="s">
        <v>259</v>
      </c>
      <c r="D97" t="s">
        <v>29</v>
      </c>
      <c r="E97" t="s">
        <v>260</v>
      </c>
      <c r="F97" t="s">
        <v>31</v>
      </c>
      <c r="G97" t="s">
        <v>24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f t="shared" si="3"/>
        <v>2</v>
      </c>
      <c r="U97">
        <f t="shared" si="4"/>
        <v>0</v>
      </c>
      <c r="V97" t="b">
        <f t="shared" si="5"/>
        <v>0</v>
      </c>
    </row>
    <row r="98" spans="1:22" x14ac:dyDescent="0.3">
      <c r="A98" t="s">
        <v>261</v>
      </c>
      <c r="B98">
        <v>2026</v>
      </c>
      <c r="C98" t="s">
        <v>200</v>
      </c>
      <c r="D98" t="s">
        <v>29</v>
      </c>
      <c r="E98" t="s">
        <v>262</v>
      </c>
      <c r="F98" t="s">
        <v>39</v>
      </c>
      <c r="G98" t="s">
        <v>24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f t="shared" si="3"/>
        <v>2</v>
      </c>
      <c r="U98">
        <f t="shared" si="4"/>
        <v>0</v>
      </c>
      <c r="V98" t="b">
        <f t="shared" si="5"/>
        <v>0</v>
      </c>
    </row>
    <row r="99" spans="1:22" x14ac:dyDescent="0.3">
      <c r="A99" t="s">
        <v>263</v>
      </c>
      <c r="B99">
        <v>2026</v>
      </c>
      <c r="C99" t="s">
        <v>264</v>
      </c>
      <c r="D99" t="s">
        <v>21</v>
      </c>
      <c r="E99" t="s">
        <v>265</v>
      </c>
      <c r="F99" t="s">
        <v>23</v>
      </c>
      <c r="G99" t="s">
        <v>24</v>
      </c>
      <c r="H99">
        <v>1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3"/>
        <v>3</v>
      </c>
      <c r="U99">
        <f t="shared" si="4"/>
        <v>0</v>
      </c>
      <c r="V99" t="b">
        <f t="shared" si="5"/>
        <v>0</v>
      </c>
    </row>
    <row r="100" spans="1:22" x14ac:dyDescent="0.3">
      <c r="A100" t="s">
        <v>266</v>
      </c>
      <c r="B100">
        <v>2026</v>
      </c>
      <c r="C100" t="s">
        <v>267</v>
      </c>
      <c r="D100" t="s">
        <v>29</v>
      </c>
      <c r="E100" t="s">
        <v>268</v>
      </c>
      <c r="F100" t="s">
        <v>39</v>
      </c>
      <c r="G100" t="s">
        <v>24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f t="shared" si="3"/>
        <v>3</v>
      </c>
      <c r="U100">
        <f t="shared" si="4"/>
        <v>1</v>
      </c>
      <c r="V100" t="b">
        <f t="shared" si="5"/>
        <v>0</v>
      </c>
    </row>
    <row r="101" spans="1:22" x14ac:dyDescent="0.3">
      <c r="A101" t="s">
        <v>269</v>
      </c>
      <c r="B101">
        <v>2026</v>
      </c>
      <c r="C101" t="s">
        <v>226</v>
      </c>
      <c r="D101" t="s">
        <v>29</v>
      </c>
      <c r="E101" t="s">
        <v>270</v>
      </c>
      <c r="F101" t="s">
        <v>39</v>
      </c>
      <c r="G101" t="s">
        <v>24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 t="shared" si="3"/>
        <v>2</v>
      </c>
      <c r="U101">
        <f t="shared" si="4"/>
        <v>0</v>
      </c>
      <c r="V101" t="b">
        <f t="shared" si="5"/>
        <v>0</v>
      </c>
    </row>
    <row r="102" spans="1:22" x14ac:dyDescent="0.3">
      <c r="A102" t="s">
        <v>271</v>
      </c>
      <c r="B102">
        <v>2025</v>
      </c>
      <c r="C102" t="s">
        <v>272</v>
      </c>
      <c r="D102" t="s">
        <v>21</v>
      </c>
      <c r="E102" t="s">
        <v>273</v>
      </c>
      <c r="F102" t="s">
        <v>23</v>
      </c>
      <c r="G102" t="s">
        <v>24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 t="shared" si="3"/>
        <v>5</v>
      </c>
      <c r="U102">
        <f t="shared" si="4"/>
        <v>0</v>
      </c>
      <c r="V102" t="b">
        <f t="shared" si="5"/>
        <v>1</v>
      </c>
    </row>
    <row r="103" spans="1:22" x14ac:dyDescent="0.3">
      <c r="A103" t="s">
        <v>274</v>
      </c>
      <c r="B103">
        <v>2025</v>
      </c>
      <c r="C103" t="s">
        <v>275</v>
      </c>
      <c r="D103" t="s">
        <v>21</v>
      </c>
      <c r="E103" t="s">
        <v>276</v>
      </c>
      <c r="F103" t="s">
        <v>23</v>
      </c>
      <c r="G103" t="s">
        <v>24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3"/>
        <v>5</v>
      </c>
      <c r="U103">
        <f t="shared" si="4"/>
        <v>0</v>
      </c>
      <c r="V103" t="b">
        <f t="shared" si="5"/>
        <v>1</v>
      </c>
    </row>
    <row r="104" spans="1:22" x14ac:dyDescent="0.3">
      <c r="A104" t="s">
        <v>277</v>
      </c>
      <c r="B104">
        <v>2025</v>
      </c>
      <c r="C104" t="s">
        <v>53</v>
      </c>
      <c r="D104" t="s">
        <v>29</v>
      </c>
      <c r="E104" t="s">
        <v>278</v>
      </c>
      <c r="F104" t="s">
        <v>31</v>
      </c>
      <c r="G104" t="s">
        <v>24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 t="shared" si="3"/>
        <v>5</v>
      </c>
      <c r="U104">
        <f t="shared" si="4"/>
        <v>0</v>
      </c>
      <c r="V104" t="b">
        <f t="shared" si="5"/>
        <v>1</v>
      </c>
    </row>
    <row r="105" spans="1:22" x14ac:dyDescent="0.3">
      <c r="A105" t="s">
        <v>279</v>
      </c>
      <c r="B105">
        <v>2025</v>
      </c>
      <c r="C105" t="s">
        <v>280</v>
      </c>
      <c r="D105" t="s">
        <v>21</v>
      </c>
      <c r="E105" t="s">
        <v>281</v>
      </c>
      <c r="F105" t="s">
        <v>23</v>
      </c>
      <c r="G105" t="s">
        <v>24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f t="shared" si="3"/>
        <v>3</v>
      </c>
      <c r="U105">
        <f t="shared" si="4"/>
        <v>1</v>
      </c>
      <c r="V105" t="b">
        <f t="shared" si="5"/>
        <v>0</v>
      </c>
    </row>
    <row r="106" spans="1:22" x14ac:dyDescent="0.3">
      <c r="A106" t="s">
        <v>282</v>
      </c>
      <c r="B106">
        <v>2025</v>
      </c>
      <c r="C106" t="s">
        <v>283</v>
      </c>
      <c r="D106" t="s">
        <v>21</v>
      </c>
      <c r="E106" t="s">
        <v>284</v>
      </c>
      <c r="F106" t="s">
        <v>23</v>
      </c>
      <c r="G106" t="s">
        <v>24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f t="shared" si="3"/>
        <v>6</v>
      </c>
      <c r="U106">
        <f t="shared" si="4"/>
        <v>0</v>
      </c>
      <c r="V106" t="b">
        <f t="shared" si="5"/>
        <v>1</v>
      </c>
    </row>
    <row r="107" spans="1:22" x14ac:dyDescent="0.3">
      <c r="A107" t="s">
        <v>285</v>
      </c>
      <c r="B107">
        <v>2025</v>
      </c>
      <c r="C107" t="s">
        <v>280</v>
      </c>
      <c r="D107" t="s">
        <v>21</v>
      </c>
      <c r="E107" t="s">
        <v>286</v>
      </c>
      <c r="F107" t="s">
        <v>23</v>
      </c>
      <c r="G107" t="s">
        <v>24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f t="shared" si="3"/>
        <v>3</v>
      </c>
      <c r="U107">
        <f t="shared" si="4"/>
        <v>0</v>
      </c>
      <c r="V107" t="b">
        <f t="shared" si="5"/>
        <v>0</v>
      </c>
    </row>
    <row r="108" spans="1:22" x14ac:dyDescent="0.3">
      <c r="A108" t="s">
        <v>287</v>
      </c>
      <c r="B108">
        <v>2025</v>
      </c>
      <c r="C108" t="s">
        <v>275</v>
      </c>
      <c r="D108" t="s">
        <v>21</v>
      </c>
      <c r="E108" t="s">
        <v>288</v>
      </c>
      <c r="F108" t="s">
        <v>23</v>
      </c>
      <c r="G108" t="s">
        <v>24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3"/>
        <v>3</v>
      </c>
      <c r="U108">
        <f t="shared" si="4"/>
        <v>0</v>
      </c>
      <c r="V108" t="b">
        <f t="shared" si="5"/>
        <v>0</v>
      </c>
    </row>
    <row r="109" spans="1:22" x14ac:dyDescent="0.3">
      <c r="A109" t="s">
        <v>289</v>
      </c>
      <c r="B109">
        <v>2025</v>
      </c>
      <c r="C109" t="s">
        <v>37</v>
      </c>
      <c r="D109" t="s">
        <v>29</v>
      </c>
      <c r="E109" t="s">
        <v>290</v>
      </c>
      <c r="F109" t="s">
        <v>39</v>
      </c>
      <c r="G109" t="s">
        <v>24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f t="shared" si="3"/>
        <v>3</v>
      </c>
      <c r="U109">
        <f t="shared" si="4"/>
        <v>1</v>
      </c>
      <c r="V109" t="b">
        <f t="shared" si="5"/>
        <v>0</v>
      </c>
    </row>
    <row r="110" spans="1:22" x14ac:dyDescent="0.3">
      <c r="A110" t="s">
        <v>291</v>
      </c>
      <c r="B110">
        <v>2025</v>
      </c>
      <c r="C110" t="s">
        <v>53</v>
      </c>
      <c r="D110" t="s">
        <v>29</v>
      </c>
      <c r="E110" t="s">
        <v>292</v>
      </c>
      <c r="F110" t="s">
        <v>31</v>
      </c>
      <c r="G110" t="s">
        <v>24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f t="shared" si="3"/>
        <v>3</v>
      </c>
      <c r="U110">
        <f t="shared" si="4"/>
        <v>1</v>
      </c>
      <c r="V110" t="b">
        <f t="shared" si="5"/>
        <v>0</v>
      </c>
    </row>
    <row r="111" spans="1:22" x14ac:dyDescent="0.3">
      <c r="A111" t="s">
        <v>293</v>
      </c>
      <c r="B111">
        <v>2025</v>
      </c>
      <c r="C111" t="s">
        <v>294</v>
      </c>
      <c r="D111" t="s">
        <v>21</v>
      </c>
      <c r="E111" t="s">
        <v>295</v>
      </c>
      <c r="F111" t="s">
        <v>23</v>
      </c>
      <c r="G111" t="s">
        <v>24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f t="shared" si="3"/>
        <v>5</v>
      </c>
      <c r="U111">
        <f t="shared" si="4"/>
        <v>1</v>
      </c>
      <c r="V111" t="b">
        <f t="shared" si="5"/>
        <v>1</v>
      </c>
    </row>
    <row r="112" spans="1:22" x14ac:dyDescent="0.3">
      <c r="A112" t="s">
        <v>296</v>
      </c>
      <c r="B112">
        <v>2025</v>
      </c>
      <c r="C112" t="s">
        <v>297</v>
      </c>
      <c r="D112" t="s">
        <v>21</v>
      </c>
      <c r="E112" t="s">
        <v>298</v>
      </c>
      <c r="F112" t="s">
        <v>35</v>
      </c>
      <c r="G112" t="s">
        <v>24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f t="shared" si="3"/>
        <v>3</v>
      </c>
      <c r="U112">
        <f t="shared" si="4"/>
        <v>1</v>
      </c>
      <c r="V112" t="b">
        <f t="shared" si="5"/>
        <v>0</v>
      </c>
    </row>
    <row r="113" spans="1:22" x14ac:dyDescent="0.3">
      <c r="A113" t="s">
        <v>299</v>
      </c>
      <c r="B113">
        <v>2025</v>
      </c>
      <c r="C113" t="s">
        <v>272</v>
      </c>
      <c r="D113" t="s">
        <v>21</v>
      </c>
      <c r="E113" t="s">
        <v>300</v>
      </c>
      <c r="F113" t="s">
        <v>23</v>
      </c>
      <c r="G113" t="s">
        <v>24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 t="shared" si="3"/>
        <v>3</v>
      </c>
      <c r="U113">
        <f t="shared" si="4"/>
        <v>0</v>
      </c>
      <c r="V113" t="b">
        <f t="shared" si="5"/>
        <v>0</v>
      </c>
    </row>
    <row r="114" spans="1:22" x14ac:dyDescent="0.3">
      <c r="A114" t="s">
        <v>301</v>
      </c>
      <c r="B114">
        <v>2025</v>
      </c>
      <c r="C114" t="s">
        <v>302</v>
      </c>
      <c r="D114" t="s">
        <v>21</v>
      </c>
      <c r="E114" t="s">
        <v>303</v>
      </c>
      <c r="F114" t="s">
        <v>23</v>
      </c>
      <c r="G114" t="s">
        <v>24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 t="shared" si="3"/>
        <v>5</v>
      </c>
      <c r="U114">
        <f t="shared" si="4"/>
        <v>0</v>
      </c>
      <c r="V114" t="b">
        <f t="shared" si="5"/>
        <v>1</v>
      </c>
    </row>
    <row r="115" spans="1:22" x14ac:dyDescent="0.3">
      <c r="A115" t="s">
        <v>304</v>
      </c>
      <c r="B115">
        <v>2025</v>
      </c>
      <c r="C115" t="s">
        <v>53</v>
      </c>
      <c r="D115" t="s">
        <v>29</v>
      </c>
      <c r="E115" t="s">
        <v>305</v>
      </c>
      <c r="F115" t="s">
        <v>31</v>
      </c>
      <c r="G115" t="s">
        <v>24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f t="shared" si="3"/>
        <v>3</v>
      </c>
      <c r="U115">
        <f t="shared" si="4"/>
        <v>1</v>
      </c>
      <c r="V115" t="b">
        <f t="shared" si="5"/>
        <v>0</v>
      </c>
    </row>
    <row r="116" spans="1:22" x14ac:dyDescent="0.3">
      <c r="A116" t="s">
        <v>306</v>
      </c>
      <c r="B116">
        <v>2025</v>
      </c>
      <c r="C116" t="s">
        <v>294</v>
      </c>
      <c r="D116" t="s">
        <v>21</v>
      </c>
      <c r="E116" t="s">
        <v>307</v>
      </c>
      <c r="F116" t="s">
        <v>23</v>
      </c>
      <c r="G116" t="s">
        <v>24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f t="shared" si="3"/>
        <v>3</v>
      </c>
      <c r="U116">
        <f t="shared" si="4"/>
        <v>0</v>
      </c>
      <c r="V116" t="b">
        <f t="shared" si="5"/>
        <v>0</v>
      </c>
    </row>
    <row r="117" spans="1:22" x14ac:dyDescent="0.3">
      <c r="A117" t="s">
        <v>308</v>
      </c>
      <c r="B117">
        <v>2025</v>
      </c>
      <c r="C117" t="s">
        <v>309</v>
      </c>
      <c r="D117" t="s">
        <v>21</v>
      </c>
      <c r="E117" t="s">
        <v>310</v>
      </c>
      <c r="F117" t="s">
        <v>35</v>
      </c>
      <c r="G117" t="s">
        <v>24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f t="shared" si="3"/>
        <v>2</v>
      </c>
      <c r="U117">
        <f t="shared" si="4"/>
        <v>0</v>
      </c>
      <c r="V117" t="b">
        <f t="shared" si="5"/>
        <v>0</v>
      </c>
    </row>
    <row r="118" spans="1:22" x14ac:dyDescent="0.3">
      <c r="A118" t="s">
        <v>311</v>
      </c>
      <c r="B118">
        <v>2025</v>
      </c>
      <c r="C118" t="s">
        <v>294</v>
      </c>
      <c r="D118" t="s">
        <v>21</v>
      </c>
      <c r="E118" t="s">
        <v>312</v>
      </c>
      <c r="F118" t="s">
        <v>23</v>
      </c>
      <c r="G118" t="s">
        <v>24</v>
      </c>
      <c r="H118">
        <v>1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f t="shared" si="3"/>
        <v>5</v>
      </c>
      <c r="U118">
        <f t="shared" si="4"/>
        <v>1</v>
      </c>
      <c r="V118" t="b">
        <f t="shared" si="5"/>
        <v>1</v>
      </c>
    </row>
    <row r="119" spans="1:22" x14ac:dyDescent="0.3">
      <c r="A119" t="s">
        <v>313</v>
      </c>
      <c r="B119">
        <v>2025</v>
      </c>
      <c r="C119" t="s">
        <v>314</v>
      </c>
      <c r="D119" t="s">
        <v>29</v>
      </c>
      <c r="E119" t="s">
        <v>315</v>
      </c>
      <c r="F119" t="s">
        <v>39</v>
      </c>
      <c r="G119" t="s">
        <v>24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 t="shared" si="3"/>
        <v>2</v>
      </c>
      <c r="U119">
        <f t="shared" si="4"/>
        <v>0</v>
      </c>
      <c r="V119" t="b">
        <f t="shared" si="5"/>
        <v>0</v>
      </c>
    </row>
    <row r="120" spans="1:22" x14ac:dyDescent="0.3">
      <c r="A120" t="s">
        <v>316</v>
      </c>
      <c r="B120">
        <v>2025</v>
      </c>
      <c r="C120" t="s">
        <v>317</v>
      </c>
      <c r="D120" t="s">
        <v>21</v>
      </c>
      <c r="E120" t="s">
        <v>318</v>
      </c>
      <c r="F120" t="s">
        <v>23</v>
      </c>
      <c r="G120" t="s">
        <v>24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3"/>
        <v>3</v>
      </c>
      <c r="U120">
        <f t="shared" si="4"/>
        <v>0</v>
      </c>
      <c r="V120" t="b">
        <f t="shared" si="5"/>
        <v>0</v>
      </c>
    </row>
    <row r="121" spans="1:22" x14ac:dyDescent="0.3">
      <c r="A121" t="s">
        <v>319</v>
      </c>
      <c r="B121">
        <v>2025</v>
      </c>
      <c r="C121" t="s">
        <v>53</v>
      </c>
      <c r="D121" t="s">
        <v>29</v>
      </c>
      <c r="E121" t="s">
        <v>320</v>
      </c>
      <c r="F121" t="s">
        <v>31</v>
      </c>
      <c r="G121" t="s">
        <v>24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f t="shared" si="3"/>
        <v>3</v>
      </c>
      <c r="U121">
        <f t="shared" si="4"/>
        <v>1</v>
      </c>
      <c r="V121" t="b">
        <f t="shared" si="5"/>
        <v>0</v>
      </c>
    </row>
    <row r="122" spans="1:22" x14ac:dyDescent="0.3">
      <c r="A122" t="s">
        <v>321</v>
      </c>
      <c r="B122">
        <v>2025</v>
      </c>
      <c r="C122" t="s">
        <v>322</v>
      </c>
      <c r="D122" t="s">
        <v>323</v>
      </c>
      <c r="E122" t="s">
        <v>324</v>
      </c>
      <c r="F122" t="s">
        <v>23</v>
      </c>
      <c r="G122" t="s">
        <v>24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 t="shared" si="3"/>
        <v>6</v>
      </c>
      <c r="U122">
        <f t="shared" si="4"/>
        <v>0</v>
      </c>
      <c r="V122" t="b">
        <f t="shared" si="5"/>
        <v>1</v>
      </c>
    </row>
    <row r="123" spans="1:22" x14ac:dyDescent="0.3">
      <c r="A123" t="s">
        <v>325</v>
      </c>
      <c r="B123">
        <v>2025</v>
      </c>
      <c r="C123" t="s">
        <v>28</v>
      </c>
      <c r="D123" t="s">
        <v>29</v>
      </c>
      <c r="E123" t="s">
        <v>326</v>
      </c>
      <c r="F123" t="s">
        <v>31</v>
      </c>
      <c r="G123" t="s">
        <v>24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 t="shared" si="3"/>
        <v>5</v>
      </c>
      <c r="U123">
        <f t="shared" si="4"/>
        <v>0</v>
      </c>
      <c r="V123" t="b">
        <f t="shared" si="5"/>
        <v>1</v>
      </c>
    </row>
    <row r="124" spans="1:22" x14ac:dyDescent="0.3">
      <c r="A124" t="s">
        <v>327</v>
      </c>
      <c r="B124">
        <v>2025</v>
      </c>
      <c r="C124" t="s">
        <v>294</v>
      </c>
      <c r="D124" t="s">
        <v>21</v>
      </c>
      <c r="E124" t="s">
        <v>328</v>
      </c>
      <c r="F124" t="s">
        <v>23</v>
      </c>
      <c r="G124" t="s">
        <v>24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f t="shared" si="3"/>
        <v>5</v>
      </c>
      <c r="U124">
        <f t="shared" si="4"/>
        <v>1</v>
      </c>
      <c r="V124" t="b">
        <f t="shared" si="5"/>
        <v>1</v>
      </c>
    </row>
    <row r="125" spans="1:22" x14ac:dyDescent="0.3">
      <c r="A125" t="s">
        <v>329</v>
      </c>
      <c r="B125">
        <v>2025</v>
      </c>
      <c r="C125" t="s">
        <v>283</v>
      </c>
      <c r="D125" t="s">
        <v>21</v>
      </c>
      <c r="E125" t="s">
        <v>330</v>
      </c>
      <c r="F125" t="s">
        <v>23</v>
      </c>
      <c r="G125" t="s">
        <v>24</v>
      </c>
      <c r="H125">
        <v>1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3"/>
        <v>5</v>
      </c>
      <c r="U125">
        <f t="shared" si="4"/>
        <v>0</v>
      </c>
      <c r="V125" t="b">
        <f t="shared" si="5"/>
        <v>1</v>
      </c>
    </row>
    <row r="126" spans="1:22" x14ac:dyDescent="0.3">
      <c r="A126" t="s">
        <v>331</v>
      </c>
      <c r="B126">
        <v>2025</v>
      </c>
      <c r="C126" t="s">
        <v>332</v>
      </c>
      <c r="D126" t="s">
        <v>21</v>
      </c>
      <c r="E126" t="s">
        <v>333</v>
      </c>
      <c r="F126" t="s">
        <v>35</v>
      </c>
      <c r="G126" t="s">
        <v>24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f t="shared" si="3"/>
        <v>3</v>
      </c>
      <c r="U126">
        <f t="shared" si="4"/>
        <v>1</v>
      </c>
      <c r="V126" t="b">
        <f t="shared" si="5"/>
        <v>0</v>
      </c>
    </row>
    <row r="127" spans="1:22" x14ac:dyDescent="0.3">
      <c r="A127" t="s">
        <v>334</v>
      </c>
      <c r="B127">
        <v>2025</v>
      </c>
      <c r="C127" t="s">
        <v>280</v>
      </c>
      <c r="D127" t="s">
        <v>21</v>
      </c>
      <c r="E127" t="s">
        <v>335</v>
      </c>
      <c r="F127" t="s">
        <v>23</v>
      </c>
      <c r="G127" t="s">
        <v>24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f t="shared" si="3"/>
        <v>3</v>
      </c>
      <c r="U127">
        <f t="shared" si="4"/>
        <v>1</v>
      </c>
      <c r="V127" t="b">
        <f t="shared" si="5"/>
        <v>0</v>
      </c>
    </row>
    <row r="128" spans="1:22" x14ac:dyDescent="0.3">
      <c r="A128" t="s">
        <v>336</v>
      </c>
      <c r="B128">
        <v>2025</v>
      </c>
      <c r="C128" t="s">
        <v>37</v>
      </c>
      <c r="D128" t="s">
        <v>29</v>
      </c>
      <c r="E128" t="s">
        <v>337</v>
      </c>
      <c r="F128" t="s">
        <v>39</v>
      </c>
      <c r="G128" t="s">
        <v>24</v>
      </c>
      <c r="H128">
        <v>1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f t="shared" si="3"/>
        <v>5</v>
      </c>
      <c r="U128">
        <f t="shared" si="4"/>
        <v>0</v>
      </c>
      <c r="V128" t="b">
        <f t="shared" si="5"/>
        <v>1</v>
      </c>
    </row>
    <row r="129" spans="1:22" x14ac:dyDescent="0.3">
      <c r="A129" t="s">
        <v>338</v>
      </c>
      <c r="B129">
        <v>2025</v>
      </c>
      <c r="C129" t="s">
        <v>37</v>
      </c>
      <c r="D129" t="s">
        <v>29</v>
      </c>
      <c r="E129" t="s">
        <v>339</v>
      </c>
      <c r="F129" t="s">
        <v>39</v>
      </c>
      <c r="G129" t="s">
        <v>24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f t="shared" si="3"/>
        <v>3</v>
      </c>
      <c r="U129">
        <f t="shared" si="4"/>
        <v>1</v>
      </c>
      <c r="V129" t="b">
        <f t="shared" si="5"/>
        <v>0</v>
      </c>
    </row>
    <row r="130" spans="1:22" x14ac:dyDescent="0.3">
      <c r="A130" t="s">
        <v>340</v>
      </c>
      <c r="B130">
        <v>2025</v>
      </c>
      <c r="C130" t="s">
        <v>37</v>
      </c>
      <c r="D130" t="s">
        <v>29</v>
      </c>
      <c r="E130" t="s">
        <v>341</v>
      </c>
      <c r="F130" t="s">
        <v>39</v>
      </c>
      <c r="G130" t="s">
        <v>24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f t="shared" si="3"/>
        <v>2</v>
      </c>
      <c r="U130">
        <f t="shared" si="4"/>
        <v>0</v>
      </c>
      <c r="V130" t="b">
        <f t="shared" si="5"/>
        <v>0</v>
      </c>
    </row>
    <row r="131" spans="1:22" x14ac:dyDescent="0.3">
      <c r="A131" t="s">
        <v>342</v>
      </c>
      <c r="B131">
        <v>2025</v>
      </c>
      <c r="C131" t="s">
        <v>317</v>
      </c>
      <c r="D131" t="s">
        <v>21</v>
      </c>
      <c r="E131" t="s">
        <v>343</v>
      </c>
      <c r="F131" t="s">
        <v>23</v>
      </c>
      <c r="G131" t="s">
        <v>24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 t="shared" ref="T131:T194" si="6">SUM(H131:M131)</f>
        <v>3</v>
      </c>
      <c r="U131">
        <f t="shared" ref="U131:U194" si="7">SUM(N131:R131)</f>
        <v>0</v>
      </c>
      <c r="V131" t="b">
        <f t="shared" ref="V131:V194" si="8">T131&gt;4</f>
        <v>0</v>
      </c>
    </row>
    <row r="132" spans="1:22" x14ac:dyDescent="0.3">
      <c r="A132" t="s">
        <v>344</v>
      </c>
      <c r="B132">
        <v>2025</v>
      </c>
      <c r="C132" t="s">
        <v>302</v>
      </c>
      <c r="D132" t="s">
        <v>21</v>
      </c>
      <c r="E132" t="s">
        <v>345</v>
      </c>
      <c r="F132" t="s">
        <v>23</v>
      </c>
      <c r="G132" t="s">
        <v>24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6"/>
        <v>5</v>
      </c>
      <c r="U132">
        <f t="shared" si="7"/>
        <v>0</v>
      </c>
      <c r="V132" t="b">
        <f t="shared" si="8"/>
        <v>1</v>
      </c>
    </row>
    <row r="133" spans="1:22" x14ac:dyDescent="0.3">
      <c r="A133" t="s">
        <v>346</v>
      </c>
      <c r="B133">
        <v>2025</v>
      </c>
      <c r="C133" t="s">
        <v>347</v>
      </c>
      <c r="D133" t="s">
        <v>323</v>
      </c>
      <c r="E133" t="s">
        <v>348</v>
      </c>
      <c r="F133" t="s">
        <v>23</v>
      </c>
      <c r="G133" t="s">
        <v>24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 t="shared" si="6"/>
        <v>3</v>
      </c>
      <c r="U133">
        <f t="shared" si="7"/>
        <v>0</v>
      </c>
      <c r="V133" t="b">
        <f t="shared" si="8"/>
        <v>0</v>
      </c>
    </row>
    <row r="134" spans="1:22" x14ac:dyDescent="0.3">
      <c r="A134" t="s">
        <v>349</v>
      </c>
      <c r="B134">
        <v>2025</v>
      </c>
      <c r="C134" t="s">
        <v>275</v>
      </c>
      <c r="D134" t="s">
        <v>21</v>
      </c>
      <c r="E134" t="s">
        <v>350</v>
      </c>
      <c r="F134" t="s">
        <v>23</v>
      </c>
      <c r="G134" t="s">
        <v>24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f t="shared" si="6"/>
        <v>5</v>
      </c>
      <c r="U134">
        <f t="shared" si="7"/>
        <v>1</v>
      </c>
      <c r="V134" t="b">
        <f t="shared" si="8"/>
        <v>1</v>
      </c>
    </row>
    <row r="135" spans="1:22" x14ac:dyDescent="0.3">
      <c r="A135" t="s">
        <v>351</v>
      </c>
      <c r="B135">
        <v>2025</v>
      </c>
      <c r="C135" t="s">
        <v>275</v>
      </c>
      <c r="D135" t="s">
        <v>21</v>
      </c>
      <c r="E135" t="s">
        <v>352</v>
      </c>
      <c r="F135" t="s">
        <v>23</v>
      </c>
      <c r="G135" t="s">
        <v>24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6"/>
        <v>3</v>
      </c>
      <c r="U135">
        <f t="shared" si="7"/>
        <v>0</v>
      </c>
      <c r="V135" t="b">
        <f t="shared" si="8"/>
        <v>0</v>
      </c>
    </row>
    <row r="136" spans="1:22" x14ac:dyDescent="0.3">
      <c r="A136" t="s">
        <v>353</v>
      </c>
      <c r="B136">
        <v>2025</v>
      </c>
      <c r="C136" t="s">
        <v>317</v>
      </c>
      <c r="D136" t="s">
        <v>21</v>
      </c>
      <c r="E136" t="s">
        <v>354</v>
      </c>
      <c r="F136" t="s">
        <v>23</v>
      </c>
      <c r="G136" t="s">
        <v>24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 t="shared" si="6"/>
        <v>3</v>
      </c>
      <c r="U136">
        <f t="shared" si="7"/>
        <v>0</v>
      </c>
      <c r="V136" t="b">
        <f t="shared" si="8"/>
        <v>0</v>
      </c>
    </row>
    <row r="137" spans="1:22" x14ac:dyDescent="0.3">
      <c r="A137" t="s">
        <v>355</v>
      </c>
      <c r="B137">
        <v>2025</v>
      </c>
      <c r="C137" t="s">
        <v>28</v>
      </c>
      <c r="D137" t="s">
        <v>29</v>
      </c>
      <c r="E137" t="s">
        <v>356</v>
      </c>
      <c r="F137" t="s">
        <v>31</v>
      </c>
      <c r="G137" t="s">
        <v>24</v>
      </c>
      <c r="H137">
        <v>1</v>
      </c>
      <c r="I137">
        <v>0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 t="shared" si="6"/>
        <v>4</v>
      </c>
      <c r="U137">
        <f t="shared" si="7"/>
        <v>0</v>
      </c>
      <c r="V137" t="b">
        <f t="shared" si="8"/>
        <v>0</v>
      </c>
    </row>
    <row r="138" spans="1:22" x14ac:dyDescent="0.3">
      <c r="A138" t="s">
        <v>357</v>
      </c>
      <c r="B138">
        <v>2025</v>
      </c>
      <c r="C138" t="s">
        <v>358</v>
      </c>
      <c r="D138" t="s">
        <v>21</v>
      </c>
      <c r="E138" t="s">
        <v>359</v>
      </c>
      <c r="F138" t="s">
        <v>35</v>
      </c>
      <c r="G138" t="s">
        <v>24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f t="shared" si="6"/>
        <v>3</v>
      </c>
      <c r="U138">
        <f t="shared" si="7"/>
        <v>1</v>
      </c>
      <c r="V138" t="b">
        <f t="shared" si="8"/>
        <v>0</v>
      </c>
    </row>
    <row r="139" spans="1:22" x14ac:dyDescent="0.3">
      <c r="A139" t="s">
        <v>360</v>
      </c>
      <c r="B139">
        <v>2025</v>
      </c>
      <c r="C139" t="s">
        <v>361</v>
      </c>
      <c r="D139" t="s">
        <v>29</v>
      </c>
      <c r="E139" t="s">
        <v>362</v>
      </c>
      <c r="F139" t="s">
        <v>39</v>
      </c>
      <c r="G139" t="s">
        <v>24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f t="shared" si="6"/>
        <v>3</v>
      </c>
      <c r="U139">
        <f t="shared" si="7"/>
        <v>1</v>
      </c>
      <c r="V139" t="b">
        <f t="shared" si="8"/>
        <v>0</v>
      </c>
    </row>
    <row r="140" spans="1:22" x14ac:dyDescent="0.3">
      <c r="A140" t="s">
        <v>363</v>
      </c>
      <c r="B140">
        <v>2025</v>
      </c>
      <c r="C140" t="s">
        <v>53</v>
      </c>
      <c r="D140" t="s">
        <v>29</v>
      </c>
      <c r="E140" t="s">
        <v>364</v>
      </c>
      <c r="F140" t="s">
        <v>31</v>
      </c>
      <c r="G140" t="s">
        <v>24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f t="shared" si="6"/>
        <v>3</v>
      </c>
      <c r="U140">
        <f t="shared" si="7"/>
        <v>1</v>
      </c>
      <c r="V140" t="b">
        <f t="shared" si="8"/>
        <v>0</v>
      </c>
    </row>
    <row r="141" spans="1:22" x14ac:dyDescent="0.3">
      <c r="A141" t="s">
        <v>365</v>
      </c>
      <c r="B141">
        <v>2025</v>
      </c>
      <c r="C141" t="s">
        <v>37</v>
      </c>
      <c r="D141" t="s">
        <v>29</v>
      </c>
      <c r="E141" t="s">
        <v>366</v>
      </c>
      <c r="F141" t="s">
        <v>39</v>
      </c>
      <c r="G141" t="s">
        <v>24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f t="shared" si="6"/>
        <v>2</v>
      </c>
      <c r="U141">
        <f t="shared" si="7"/>
        <v>0</v>
      </c>
      <c r="V141" t="b">
        <f t="shared" si="8"/>
        <v>0</v>
      </c>
    </row>
    <row r="142" spans="1:22" x14ac:dyDescent="0.3">
      <c r="A142" t="s">
        <v>367</v>
      </c>
      <c r="B142">
        <v>2025</v>
      </c>
      <c r="C142" t="s">
        <v>275</v>
      </c>
      <c r="D142" t="s">
        <v>21</v>
      </c>
      <c r="E142" t="s">
        <v>368</v>
      </c>
      <c r="F142" t="s">
        <v>23</v>
      </c>
      <c r="G142" t="s">
        <v>24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f t="shared" si="6"/>
        <v>3</v>
      </c>
      <c r="U142">
        <f t="shared" si="7"/>
        <v>0</v>
      </c>
      <c r="V142" t="b">
        <f t="shared" si="8"/>
        <v>0</v>
      </c>
    </row>
    <row r="143" spans="1:22" x14ac:dyDescent="0.3">
      <c r="A143" t="s">
        <v>369</v>
      </c>
      <c r="B143">
        <v>2025</v>
      </c>
      <c r="C143" t="s">
        <v>53</v>
      </c>
      <c r="D143" t="s">
        <v>29</v>
      </c>
      <c r="E143" t="s">
        <v>370</v>
      </c>
      <c r="F143" t="s">
        <v>31</v>
      </c>
      <c r="G143" t="s">
        <v>24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f t="shared" si="6"/>
        <v>3</v>
      </c>
      <c r="U143">
        <f t="shared" si="7"/>
        <v>0</v>
      </c>
      <c r="V143" t="b">
        <f t="shared" si="8"/>
        <v>0</v>
      </c>
    </row>
    <row r="144" spans="1:22" x14ac:dyDescent="0.3">
      <c r="A144" t="s">
        <v>371</v>
      </c>
      <c r="B144">
        <v>2025</v>
      </c>
      <c r="C144" t="s">
        <v>280</v>
      </c>
      <c r="D144" t="s">
        <v>21</v>
      </c>
      <c r="E144" t="s">
        <v>372</v>
      </c>
      <c r="F144" t="s">
        <v>23</v>
      </c>
      <c r="G144" t="s">
        <v>24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f t="shared" si="6"/>
        <v>3</v>
      </c>
      <c r="U144">
        <f t="shared" si="7"/>
        <v>0</v>
      </c>
      <c r="V144" t="b">
        <f t="shared" si="8"/>
        <v>0</v>
      </c>
    </row>
    <row r="145" spans="1:22" x14ac:dyDescent="0.3">
      <c r="A145" t="s">
        <v>373</v>
      </c>
      <c r="B145">
        <v>2025</v>
      </c>
      <c r="C145" t="s">
        <v>280</v>
      </c>
      <c r="D145" t="s">
        <v>21</v>
      </c>
      <c r="E145" t="s">
        <v>374</v>
      </c>
      <c r="F145" t="s">
        <v>23</v>
      </c>
      <c r="G145" t="s">
        <v>24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f t="shared" si="6"/>
        <v>3</v>
      </c>
      <c r="U145">
        <f t="shared" si="7"/>
        <v>0</v>
      </c>
      <c r="V145" t="b">
        <f t="shared" si="8"/>
        <v>0</v>
      </c>
    </row>
    <row r="146" spans="1:22" x14ac:dyDescent="0.3">
      <c r="A146" t="s">
        <v>375</v>
      </c>
      <c r="B146">
        <v>2025</v>
      </c>
      <c r="C146" t="s">
        <v>275</v>
      </c>
      <c r="D146" t="s">
        <v>21</v>
      </c>
      <c r="E146" t="s">
        <v>376</v>
      </c>
      <c r="F146" t="s">
        <v>23</v>
      </c>
      <c r="G146" t="s">
        <v>24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f t="shared" si="6"/>
        <v>5</v>
      </c>
      <c r="U146">
        <f t="shared" si="7"/>
        <v>1</v>
      </c>
      <c r="V146" t="b">
        <f t="shared" si="8"/>
        <v>1</v>
      </c>
    </row>
    <row r="147" spans="1:22" x14ac:dyDescent="0.3">
      <c r="A147" t="s">
        <v>377</v>
      </c>
      <c r="B147">
        <v>2025</v>
      </c>
      <c r="C147" t="s">
        <v>53</v>
      </c>
      <c r="D147" t="s">
        <v>29</v>
      </c>
      <c r="E147" t="s">
        <v>378</v>
      </c>
      <c r="F147" t="s">
        <v>31</v>
      </c>
      <c r="G147" t="s">
        <v>24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f t="shared" si="6"/>
        <v>2</v>
      </c>
      <c r="U147">
        <f t="shared" si="7"/>
        <v>0</v>
      </c>
      <c r="V147" t="b">
        <f t="shared" si="8"/>
        <v>0</v>
      </c>
    </row>
    <row r="148" spans="1:22" x14ac:dyDescent="0.3">
      <c r="A148" t="s">
        <v>379</v>
      </c>
      <c r="B148">
        <v>2025</v>
      </c>
      <c r="C148" t="s">
        <v>48</v>
      </c>
      <c r="D148" t="s">
        <v>29</v>
      </c>
      <c r="E148" t="s">
        <v>380</v>
      </c>
      <c r="F148" t="s">
        <v>31</v>
      </c>
      <c r="G148" t="s">
        <v>24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f t="shared" si="6"/>
        <v>3</v>
      </c>
      <c r="U148">
        <f t="shared" si="7"/>
        <v>1</v>
      </c>
      <c r="V148" t="b">
        <f t="shared" si="8"/>
        <v>0</v>
      </c>
    </row>
    <row r="149" spans="1:22" x14ac:dyDescent="0.3">
      <c r="A149" t="s">
        <v>381</v>
      </c>
      <c r="B149">
        <v>2025</v>
      </c>
      <c r="C149" t="s">
        <v>53</v>
      </c>
      <c r="D149" t="s">
        <v>29</v>
      </c>
      <c r="E149" t="s">
        <v>382</v>
      </c>
      <c r="F149" t="s">
        <v>31</v>
      </c>
      <c r="G149" t="s">
        <v>24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f t="shared" si="6"/>
        <v>6</v>
      </c>
      <c r="U149">
        <f t="shared" si="7"/>
        <v>0</v>
      </c>
      <c r="V149" t="b">
        <f t="shared" si="8"/>
        <v>1</v>
      </c>
    </row>
    <row r="150" spans="1:22" x14ac:dyDescent="0.3">
      <c r="A150" t="s">
        <v>383</v>
      </c>
      <c r="B150">
        <v>2025</v>
      </c>
      <c r="C150" t="s">
        <v>280</v>
      </c>
      <c r="D150" t="s">
        <v>21</v>
      </c>
      <c r="E150" t="s">
        <v>384</v>
      </c>
      <c r="F150" t="s">
        <v>23</v>
      </c>
      <c r="G150" t="s">
        <v>24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f t="shared" si="6"/>
        <v>3</v>
      </c>
      <c r="U150">
        <f t="shared" si="7"/>
        <v>0</v>
      </c>
      <c r="V150" t="b">
        <f t="shared" si="8"/>
        <v>0</v>
      </c>
    </row>
    <row r="151" spans="1:22" x14ac:dyDescent="0.3">
      <c r="A151" t="s">
        <v>385</v>
      </c>
      <c r="B151">
        <v>2025</v>
      </c>
      <c r="C151" t="s">
        <v>53</v>
      </c>
      <c r="D151" t="s">
        <v>29</v>
      </c>
      <c r="E151" t="s">
        <v>386</v>
      </c>
      <c r="F151" t="s">
        <v>31</v>
      </c>
      <c r="G151" t="s">
        <v>24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6"/>
        <v>2</v>
      </c>
      <c r="U151">
        <f t="shared" si="7"/>
        <v>0</v>
      </c>
      <c r="V151" t="b">
        <f t="shared" si="8"/>
        <v>0</v>
      </c>
    </row>
    <row r="152" spans="1:22" x14ac:dyDescent="0.3">
      <c r="A152" t="s">
        <v>387</v>
      </c>
      <c r="B152">
        <v>2025</v>
      </c>
      <c r="C152" t="s">
        <v>53</v>
      </c>
      <c r="D152" t="s">
        <v>29</v>
      </c>
      <c r="E152" t="s">
        <v>388</v>
      </c>
      <c r="F152" t="s">
        <v>31</v>
      </c>
      <c r="G152" t="s">
        <v>24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f t="shared" si="6"/>
        <v>2</v>
      </c>
      <c r="U152">
        <f t="shared" si="7"/>
        <v>0</v>
      </c>
      <c r="V152" t="b">
        <f t="shared" si="8"/>
        <v>0</v>
      </c>
    </row>
    <row r="153" spans="1:22" x14ac:dyDescent="0.3">
      <c r="A153" t="s">
        <v>389</v>
      </c>
      <c r="B153">
        <v>2025</v>
      </c>
      <c r="C153" t="s">
        <v>53</v>
      </c>
      <c r="D153" t="s">
        <v>29</v>
      </c>
      <c r="E153" t="s">
        <v>390</v>
      </c>
      <c r="F153" t="s">
        <v>31</v>
      </c>
      <c r="G153" t="s">
        <v>24</v>
      </c>
      <c r="H153">
        <v>1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f t="shared" si="6"/>
        <v>5</v>
      </c>
      <c r="U153">
        <f t="shared" si="7"/>
        <v>0</v>
      </c>
      <c r="V153" t="b">
        <f t="shared" si="8"/>
        <v>1</v>
      </c>
    </row>
    <row r="154" spans="1:22" x14ac:dyDescent="0.3">
      <c r="A154" t="s">
        <v>391</v>
      </c>
      <c r="B154">
        <v>2025</v>
      </c>
      <c r="C154" t="s">
        <v>280</v>
      </c>
      <c r="D154" t="s">
        <v>21</v>
      </c>
      <c r="E154" t="s">
        <v>392</v>
      </c>
      <c r="F154" t="s">
        <v>23</v>
      </c>
      <c r="G154" t="s">
        <v>24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f t="shared" si="6"/>
        <v>2</v>
      </c>
      <c r="U154">
        <f t="shared" si="7"/>
        <v>0</v>
      </c>
      <c r="V154" t="b">
        <f t="shared" si="8"/>
        <v>0</v>
      </c>
    </row>
    <row r="155" spans="1:22" x14ac:dyDescent="0.3">
      <c r="A155" t="s">
        <v>393</v>
      </c>
      <c r="B155">
        <v>2025</v>
      </c>
      <c r="C155" t="s">
        <v>280</v>
      </c>
      <c r="D155" t="s">
        <v>21</v>
      </c>
      <c r="E155" t="s">
        <v>394</v>
      </c>
      <c r="F155" t="s">
        <v>23</v>
      </c>
      <c r="G155" t="s">
        <v>24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f t="shared" si="6"/>
        <v>2</v>
      </c>
      <c r="U155">
        <f t="shared" si="7"/>
        <v>0</v>
      </c>
      <c r="V155" t="b">
        <f t="shared" si="8"/>
        <v>0</v>
      </c>
    </row>
    <row r="156" spans="1:22" x14ac:dyDescent="0.3">
      <c r="A156" t="s">
        <v>395</v>
      </c>
      <c r="B156">
        <v>2025</v>
      </c>
      <c r="C156" t="s">
        <v>358</v>
      </c>
      <c r="D156" t="s">
        <v>21</v>
      </c>
      <c r="E156" t="s">
        <v>396</v>
      </c>
      <c r="F156" t="s">
        <v>35</v>
      </c>
      <c r="G156" t="s">
        <v>24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f t="shared" si="6"/>
        <v>2</v>
      </c>
      <c r="U156">
        <f t="shared" si="7"/>
        <v>0</v>
      </c>
      <c r="V156" t="b">
        <f t="shared" si="8"/>
        <v>0</v>
      </c>
    </row>
    <row r="157" spans="1:22" x14ac:dyDescent="0.3">
      <c r="A157" t="s">
        <v>397</v>
      </c>
      <c r="B157">
        <v>2025</v>
      </c>
      <c r="C157" t="s">
        <v>358</v>
      </c>
      <c r="D157" t="s">
        <v>21</v>
      </c>
      <c r="E157" t="s">
        <v>398</v>
      </c>
      <c r="F157" t="s">
        <v>35</v>
      </c>
      <c r="G157" t="s">
        <v>24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f t="shared" si="6"/>
        <v>2</v>
      </c>
      <c r="U157">
        <f t="shared" si="7"/>
        <v>0</v>
      </c>
      <c r="V157" t="b">
        <f t="shared" si="8"/>
        <v>0</v>
      </c>
    </row>
    <row r="158" spans="1:22" x14ac:dyDescent="0.3">
      <c r="A158" t="s">
        <v>399</v>
      </c>
      <c r="B158">
        <v>2025</v>
      </c>
      <c r="C158" t="s">
        <v>280</v>
      </c>
      <c r="D158" t="s">
        <v>21</v>
      </c>
      <c r="E158" t="s">
        <v>400</v>
      </c>
      <c r="F158" t="s">
        <v>23</v>
      </c>
      <c r="G158" t="s">
        <v>24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f t="shared" si="6"/>
        <v>2</v>
      </c>
      <c r="U158">
        <f t="shared" si="7"/>
        <v>0</v>
      </c>
      <c r="V158" t="b">
        <f t="shared" si="8"/>
        <v>0</v>
      </c>
    </row>
    <row r="159" spans="1:22" x14ac:dyDescent="0.3">
      <c r="A159" t="s">
        <v>401</v>
      </c>
      <c r="B159">
        <v>2025</v>
      </c>
      <c r="C159" t="s">
        <v>275</v>
      </c>
      <c r="D159" t="s">
        <v>21</v>
      </c>
      <c r="E159" t="s">
        <v>402</v>
      </c>
      <c r="F159" t="s">
        <v>23</v>
      </c>
      <c r="G159" t="s">
        <v>24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f t="shared" si="6"/>
        <v>3</v>
      </c>
      <c r="U159">
        <f t="shared" si="7"/>
        <v>0</v>
      </c>
      <c r="V159" t="b">
        <f t="shared" si="8"/>
        <v>0</v>
      </c>
    </row>
    <row r="160" spans="1:22" x14ac:dyDescent="0.3">
      <c r="A160" t="s">
        <v>403</v>
      </c>
      <c r="B160">
        <v>2025</v>
      </c>
      <c r="C160" t="s">
        <v>404</v>
      </c>
      <c r="D160" t="s">
        <v>21</v>
      </c>
      <c r="E160" t="s">
        <v>405</v>
      </c>
      <c r="F160" t="s">
        <v>23</v>
      </c>
      <c r="G160" t="s">
        <v>24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f t="shared" si="6"/>
        <v>3</v>
      </c>
      <c r="U160">
        <f t="shared" si="7"/>
        <v>0</v>
      </c>
      <c r="V160" t="b">
        <f t="shared" si="8"/>
        <v>0</v>
      </c>
    </row>
    <row r="161" spans="1:22" x14ac:dyDescent="0.3">
      <c r="A161" t="s">
        <v>406</v>
      </c>
      <c r="B161">
        <v>2025</v>
      </c>
      <c r="C161" t="s">
        <v>28</v>
      </c>
      <c r="D161" t="s">
        <v>29</v>
      </c>
      <c r="E161" t="s">
        <v>407</v>
      </c>
      <c r="F161" t="s">
        <v>31</v>
      </c>
      <c r="G161" t="s">
        <v>24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f t="shared" si="6"/>
        <v>6</v>
      </c>
      <c r="U161">
        <f t="shared" si="7"/>
        <v>0</v>
      </c>
      <c r="V161" t="b">
        <f t="shared" si="8"/>
        <v>1</v>
      </c>
    </row>
    <row r="162" spans="1:22" x14ac:dyDescent="0.3">
      <c r="A162" t="s">
        <v>408</v>
      </c>
      <c r="B162">
        <v>2025</v>
      </c>
      <c r="C162" t="s">
        <v>275</v>
      </c>
      <c r="D162" t="s">
        <v>21</v>
      </c>
      <c r="E162" t="s">
        <v>409</v>
      </c>
      <c r="F162" t="s">
        <v>23</v>
      </c>
      <c r="G162" t="s">
        <v>24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f t="shared" si="6"/>
        <v>3</v>
      </c>
      <c r="U162">
        <f t="shared" si="7"/>
        <v>0</v>
      </c>
      <c r="V162" t="b">
        <f t="shared" si="8"/>
        <v>0</v>
      </c>
    </row>
    <row r="163" spans="1:22" x14ac:dyDescent="0.3">
      <c r="A163" t="s">
        <v>410</v>
      </c>
      <c r="B163">
        <v>2025</v>
      </c>
      <c r="C163" t="s">
        <v>37</v>
      </c>
      <c r="D163" t="s">
        <v>29</v>
      </c>
      <c r="E163" t="s">
        <v>411</v>
      </c>
      <c r="F163" t="s">
        <v>39</v>
      </c>
      <c r="G163" t="s">
        <v>24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f t="shared" si="6"/>
        <v>3</v>
      </c>
      <c r="U163">
        <f t="shared" si="7"/>
        <v>1</v>
      </c>
      <c r="V163" t="b">
        <f t="shared" si="8"/>
        <v>0</v>
      </c>
    </row>
    <row r="164" spans="1:22" x14ac:dyDescent="0.3">
      <c r="A164" t="s">
        <v>412</v>
      </c>
      <c r="B164">
        <v>2025</v>
      </c>
      <c r="C164" t="s">
        <v>413</v>
      </c>
      <c r="D164" t="s">
        <v>130</v>
      </c>
      <c r="E164" t="s">
        <v>414</v>
      </c>
      <c r="F164" t="s">
        <v>31</v>
      </c>
      <c r="G164" t="s">
        <v>24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f t="shared" si="6"/>
        <v>3</v>
      </c>
      <c r="U164">
        <f t="shared" si="7"/>
        <v>0</v>
      </c>
      <c r="V164" t="b">
        <f t="shared" si="8"/>
        <v>0</v>
      </c>
    </row>
    <row r="165" spans="1:22" x14ac:dyDescent="0.3">
      <c r="A165" t="s">
        <v>415</v>
      </c>
      <c r="B165">
        <v>2025</v>
      </c>
      <c r="C165" t="s">
        <v>53</v>
      </c>
      <c r="D165" t="s">
        <v>29</v>
      </c>
      <c r="E165" t="s">
        <v>416</v>
      </c>
      <c r="F165" t="s">
        <v>31</v>
      </c>
      <c r="G165" t="s">
        <v>24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f t="shared" si="6"/>
        <v>2</v>
      </c>
      <c r="U165">
        <f t="shared" si="7"/>
        <v>0</v>
      </c>
      <c r="V165" t="b">
        <f t="shared" si="8"/>
        <v>0</v>
      </c>
    </row>
    <row r="166" spans="1:22" x14ac:dyDescent="0.3">
      <c r="A166" t="s">
        <v>417</v>
      </c>
      <c r="B166">
        <v>2025</v>
      </c>
      <c r="C166" t="s">
        <v>418</v>
      </c>
      <c r="D166" t="s">
        <v>130</v>
      </c>
      <c r="E166" t="s">
        <v>419</v>
      </c>
      <c r="F166" t="s">
        <v>31</v>
      </c>
      <c r="G166" t="s">
        <v>24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f t="shared" si="6"/>
        <v>6</v>
      </c>
      <c r="U166">
        <f t="shared" si="7"/>
        <v>0</v>
      </c>
      <c r="V166" t="b">
        <f t="shared" si="8"/>
        <v>1</v>
      </c>
    </row>
    <row r="167" spans="1:22" x14ac:dyDescent="0.3">
      <c r="A167" t="s">
        <v>420</v>
      </c>
      <c r="B167">
        <v>2025</v>
      </c>
      <c r="C167" t="s">
        <v>297</v>
      </c>
      <c r="D167" t="s">
        <v>21</v>
      </c>
      <c r="E167" t="s">
        <v>421</v>
      </c>
      <c r="F167" t="s">
        <v>35</v>
      </c>
      <c r="G167" t="s">
        <v>24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f t="shared" si="6"/>
        <v>2</v>
      </c>
      <c r="U167">
        <f t="shared" si="7"/>
        <v>0</v>
      </c>
      <c r="V167" t="b">
        <f t="shared" si="8"/>
        <v>0</v>
      </c>
    </row>
    <row r="168" spans="1:22" x14ac:dyDescent="0.3">
      <c r="A168" t="s">
        <v>422</v>
      </c>
      <c r="B168">
        <v>2025</v>
      </c>
      <c r="C168" t="s">
        <v>53</v>
      </c>
      <c r="D168" t="s">
        <v>29</v>
      </c>
      <c r="E168" t="s">
        <v>423</v>
      </c>
      <c r="F168" t="s">
        <v>31</v>
      </c>
      <c r="G168" t="s">
        <v>24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f t="shared" si="6"/>
        <v>3</v>
      </c>
      <c r="U168">
        <f t="shared" si="7"/>
        <v>1</v>
      </c>
      <c r="V168" t="b">
        <f t="shared" si="8"/>
        <v>0</v>
      </c>
    </row>
    <row r="169" spans="1:22" x14ac:dyDescent="0.3">
      <c r="A169" t="s">
        <v>424</v>
      </c>
      <c r="B169">
        <v>2025</v>
      </c>
      <c r="C169" t="s">
        <v>283</v>
      </c>
      <c r="D169" t="s">
        <v>21</v>
      </c>
      <c r="E169" t="s">
        <v>425</v>
      </c>
      <c r="F169" t="s">
        <v>23</v>
      </c>
      <c r="G169" t="s">
        <v>24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f t="shared" si="6"/>
        <v>3</v>
      </c>
      <c r="U169">
        <f t="shared" si="7"/>
        <v>0</v>
      </c>
      <c r="V169" t="b">
        <f t="shared" si="8"/>
        <v>0</v>
      </c>
    </row>
    <row r="170" spans="1:22" x14ac:dyDescent="0.3">
      <c r="A170" t="s">
        <v>426</v>
      </c>
      <c r="B170">
        <v>2025</v>
      </c>
      <c r="C170" t="s">
        <v>427</v>
      </c>
      <c r="D170" t="s">
        <v>21</v>
      </c>
      <c r="E170" t="s">
        <v>428</v>
      </c>
      <c r="F170" t="s">
        <v>35</v>
      </c>
      <c r="G170" t="s">
        <v>24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f t="shared" si="6"/>
        <v>2</v>
      </c>
      <c r="U170">
        <f t="shared" si="7"/>
        <v>0</v>
      </c>
      <c r="V170" t="b">
        <f t="shared" si="8"/>
        <v>0</v>
      </c>
    </row>
    <row r="171" spans="1:22" x14ac:dyDescent="0.3">
      <c r="A171" t="s">
        <v>429</v>
      </c>
      <c r="B171">
        <v>2025</v>
      </c>
      <c r="C171" t="s">
        <v>48</v>
      </c>
      <c r="D171" t="s">
        <v>29</v>
      </c>
      <c r="E171" t="s">
        <v>430</v>
      </c>
      <c r="F171" t="s">
        <v>31</v>
      </c>
      <c r="G171" t="s">
        <v>24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f t="shared" si="6"/>
        <v>2</v>
      </c>
      <c r="U171">
        <f t="shared" si="7"/>
        <v>0</v>
      </c>
      <c r="V171" t="b">
        <f t="shared" si="8"/>
        <v>0</v>
      </c>
    </row>
    <row r="172" spans="1:22" x14ac:dyDescent="0.3">
      <c r="A172" t="s">
        <v>431</v>
      </c>
      <c r="B172">
        <v>2025</v>
      </c>
      <c r="C172" t="s">
        <v>432</v>
      </c>
      <c r="D172" t="s">
        <v>21</v>
      </c>
      <c r="E172" t="s">
        <v>433</v>
      </c>
      <c r="F172" t="s">
        <v>35</v>
      </c>
      <c r="G172" t="s">
        <v>24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f t="shared" si="6"/>
        <v>3</v>
      </c>
      <c r="U172">
        <f t="shared" si="7"/>
        <v>1</v>
      </c>
      <c r="V172" t="b">
        <f t="shared" si="8"/>
        <v>0</v>
      </c>
    </row>
    <row r="173" spans="1:22" x14ac:dyDescent="0.3">
      <c r="A173" t="s">
        <v>434</v>
      </c>
      <c r="B173">
        <v>2025</v>
      </c>
      <c r="C173" t="s">
        <v>435</v>
      </c>
      <c r="D173" t="s">
        <v>21</v>
      </c>
      <c r="E173" t="s">
        <v>436</v>
      </c>
      <c r="F173" t="s">
        <v>35</v>
      </c>
      <c r="G173" t="s">
        <v>24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f t="shared" si="6"/>
        <v>2</v>
      </c>
      <c r="U173">
        <f t="shared" si="7"/>
        <v>0</v>
      </c>
      <c r="V173" t="b">
        <f t="shared" si="8"/>
        <v>0</v>
      </c>
    </row>
    <row r="174" spans="1:22" x14ac:dyDescent="0.3">
      <c r="A174" t="s">
        <v>437</v>
      </c>
      <c r="B174">
        <v>2025</v>
      </c>
      <c r="C174" t="s">
        <v>37</v>
      </c>
      <c r="D174" t="s">
        <v>29</v>
      </c>
      <c r="E174" t="s">
        <v>438</v>
      </c>
      <c r="F174" t="s">
        <v>39</v>
      </c>
      <c r="G174" t="s">
        <v>24</v>
      </c>
      <c r="H174">
        <v>0</v>
      </c>
      <c r="I174">
        <v>1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f t="shared" si="6"/>
        <v>3</v>
      </c>
      <c r="U174">
        <f t="shared" si="7"/>
        <v>1</v>
      </c>
      <c r="V174" t="b">
        <f t="shared" si="8"/>
        <v>0</v>
      </c>
    </row>
    <row r="175" spans="1:22" x14ac:dyDescent="0.3">
      <c r="A175" t="s">
        <v>439</v>
      </c>
      <c r="B175">
        <v>2025</v>
      </c>
      <c r="C175" t="s">
        <v>440</v>
      </c>
      <c r="D175" t="s">
        <v>21</v>
      </c>
      <c r="E175" t="s">
        <v>441</v>
      </c>
      <c r="F175" t="s">
        <v>23</v>
      </c>
      <c r="G175" t="s">
        <v>24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f t="shared" si="6"/>
        <v>2</v>
      </c>
      <c r="U175">
        <f t="shared" si="7"/>
        <v>0</v>
      </c>
      <c r="V175" t="b">
        <f t="shared" si="8"/>
        <v>0</v>
      </c>
    </row>
    <row r="176" spans="1:22" x14ac:dyDescent="0.3">
      <c r="A176" t="s">
        <v>442</v>
      </c>
      <c r="B176">
        <v>2025</v>
      </c>
      <c r="C176" t="s">
        <v>317</v>
      </c>
      <c r="D176" t="s">
        <v>21</v>
      </c>
      <c r="E176" t="s">
        <v>443</v>
      </c>
      <c r="F176" t="s">
        <v>23</v>
      </c>
      <c r="G176" t="s">
        <v>24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f t="shared" si="6"/>
        <v>3</v>
      </c>
      <c r="U176">
        <f t="shared" si="7"/>
        <v>0</v>
      </c>
      <c r="V176" t="b">
        <f t="shared" si="8"/>
        <v>0</v>
      </c>
    </row>
    <row r="177" spans="1:22" x14ac:dyDescent="0.3">
      <c r="A177" t="s">
        <v>444</v>
      </c>
      <c r="B177">
        <v>2025</v>
      </c>
      <c r="C177" t="s">
        <v>28</v>
      </c>
      <c r="D177" t="s">
        <v>29</v>
      </c>
      <c r="E177" t="s">
        <v>445</v>
      </c>
      <c r="F177" t="s">
        <v>31</v>
      </c>
      <c r="G177" t="s">
        <v>24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f t="shared" si="6"/>
        <v>3</v>
      </c>
      <c r="U177">
        <f t="shared" si="7"/>
        <v>0</v>
      </c>
      <c r="V177" t="b">
        <f t="shared" si="8"/>
        <v>0</v>
      </c>
    </row>
    <row r="178" spans="1:22" x14ac:dyDescent="0.3">
      <c r="A178" t="s">
        <v>446</v>
      </c>
      <c r="B178">
        <v>2025</v>
      </c>
      <c r="C178" t="s">
        <v>309</v>
      </c>
      <c r="D178" t="s">
        <v>21</v>
      </c>
      <c r="E178" t="s">
        <v>447</v>
      </c>
      <c r="F178" t="s">
        <v>35</v>
      </c>
      <c r="G178" t="s">
        <v>24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f t="shared" si="6"/>
        <v>2</v>
      </c>
      <c r="U178">
        <f t="shared" si="7"/>
        <v>0</v>
      </c>
      <c r="V178" t="b">
        <f t="shared" si="8"/>
        <v>0</v>
      </c>
    </row>
    <row r="179" spans="1:22" x14ac:dyDescent="0.3">
      <c r="A179" t="s">
        <v>448</v>
      </c>
      <c r="B179">
        <v>2025</v>
      </c>
      <c r="C179" t="s">
        <v>280</v>
      </c>
      <c r="D179" t="s">
        <v>21</v>
      </c>
      <c r="E179" t="s">
        <v>449</v>
      </c>
      <c r="F179" t="s">
        <v>23</v>
      </c>
      <c r="G179" t="s">
        <v>24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f t="shared" si="6"/>
        <v>3</v>
      </c>
      <c r="U179">
        <f t="shared" si="7"/>
        <v>1</v>
      </c>
      <c r="V179" t="b">
        <f t="shared" si="8"/>
        <v>0</v>
      </c>
    </row>
    <row r="180" spans="1:22" x14ac:dyDescent="0.3">
      <c r="A180" t="s">
        <v>450</v>
      </c>
      <c r="B180">
        <v>2025</v>
      </c>
      <c r="C180" t="s">
        <v>53</v>
      </c>
      <c r="D180" t="s">
        <v>29</v>
      </c>
      <c r="E180" t="s">
        <v>451</v>
      </c>
      <c r="F180" t="s">
        <v>31</v>
      </c>
      <c r="G180" t="s">
        <v>24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f t="shared" si="6"/>
        <v>3</v>
      </c>
      <c r="U180">
        <f t="shared" si="7"/>
        <v>1</v>
      </c>
      <c r="V180" t="b">
        <f t="shared" si="8"/>
        <v>0</v>
      </c>
    </row>
    <row r="181" spans="1:22" x14ac:dyDescent="0.3">
      <c r="A181" t="s">
        <v>452</v>
      </c>
      <c r="B181">
        <v>2025</v>
      </c>
      <c r="C181" t="s">
        <v>53</v>
      </c>
      <c r="D181" t="s">
        <v>29</v>
      </c>
      <c r="E181" t="s">
        <v>453</v>
      </c>
      <c r="F181" t="s">
        <v>31</v>
      </c>
      <c r="G181" t="s">
        <v>24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f t="shared" si="6"/>
        <v>5</v>
      </c>
      <c r="U181">
        <f t="shared" si="7"/>
        <v>0</v>
      </c>
      <c r="V181" t="b">
        <f t="shared" si="8"/>
        <v>1</v>
      </c>
    </row>
    <row r="182" spans="1:22" x14ac:dyDescent="0.3">
      <c r="A182" t="s">
        <v>454</v>
      </c>
      <c r="B182">
        <v>2025</v>
      </c>
      <c r="C182" t="s">
        <v>48</v>
      </c>
      <c r="D182" t="s">
        <v>29</v>
      </c>
      <c r="E182" t="s">
        <v>455</v>
      </c>
      <c r="F182" t="s">
        <v>31</v>
      </c>
      <c r="G182" t="s">
        <v>24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f t="shared" si="6"/>
        <v>2</v>
      </c>
      <c r="U182">
        <f t="shared" si="7"/>
        <v>0</v>
      </c>
      <c r="V182" t="b">
        <f t="shared" si="8"/>
        <v>0</v>
      </c>
    </row>
    <row r="183" spans="1:22" x14ac:dyDescent="0.3">
      <c r="A183" t="s">
        <v>456</v>
      </c>
      <c r="B183">
        <v>2025</v>
      </c>
      <c r="C183" t="s">
        <v>432</v>
      </c>
      <c r="D183" t="s">
        <v>21</v>
      </c>
      <c r="E183" t="s">
        <v>457</v>
      </c>
      <c r="F183" t="s">
        <v>35</v>
      </c>
      <c r="G183" t="s">
        <v>24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f t="shared" si="6"/>
        <v>2</v>
      </c>
      <c r="U183">
        <f t="shared" si="7"/>
        <v>0</v>
      </c>
      <c r="V183" t="b">
        <f t="shared" si="8"/>
        <v>0</v>
      </c>
    </row>
    <row r="184" spans="1:22" x14ac:dyDescent="0.3">
      <c r="A184" t="s">
        <v>458</v>
      </c>
      <c r="B184">
        <v>2025</v>
      </c>
      <c r="C184" t="s">
        <v>358</v>
      </c>
      <c r="D184" t="s">
        <v>21</v>
      </c>
      <c r="E184" t="s">
        <v>459</v>
      </c>
      <c r="F184" t="s">
        <v>35</v>
      </c>
      <c r="G184" t="s">
        <v>24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f t="shared" si="6"/>
        <v>2</v>
      </c>
      <c r="U184">
        <f t="shared" si="7"/>
        <v>0</v>
      </c>
      <c r="V184" t="b">
        <f t="shared" si="8"/>
        <v>0</v>
      </c>
    </row>
    <row r="185" spans="1:22" x14ac:dyDescent="0.3">
      <c r="A185" t="s">
        <v>460</v>
      </c>
      <c r="B185">
        <v>2025</v>
      </c>
      <c r="C185" t="s">
        <v>280</v>
      </c>
      <c r="D185" t="s">
        <v>21</v>
      </c>
      <c r="E185" t="s">
        <v>461</v>
      </c>
      <c r="F185" t="s">
        <v>23</v>
      </c>
      <c r="G185" t="s">
        <v>24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f t="shared" si="6"/>
        <v>2</v>
      </c>
      <c r="U185">
        <f t="shared" si="7"/>
        <v>0</v>
      </c>
      <c r="V185" t="b">
        <f t="shared" si="8"/>
        <v>0</v>
      </c>
    </row>
    <row r="186" spans="1:22" x14ac:dyDescent="0.3">
      <c r="A186" t="s">
        <v>462</v>
      </c>
      <c r="B186">
        <v>2025</v>
      </c>
      <c r="C186" t="s">
        <v>53</v>
      </c>
      <c r="D186" t="s">
        <v>29</v>
      </c>
      <c r="E186" t="s">
        <v>463</v>
      </c>
      <c r="F186" t="s">
        <v>31</v>
      </c>
      <c r="G186" t="s">
        <v>24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f t="shared" si="6"/>
        <v>2</v>
      </c>
      <c r="U186">
        <f t="shared" si="7"/>
        <v>0</v>
      </c>
      <c r="V186" t="b">
        <f t="shared" si="8"/>
        <v>0</v>
      </c>
    </row>
    <row r="187" spans="1:22" x14ac:dyDescent="0.3">
      <c r="A187" t="s">
        <v>464</v>
      </c>
      <c r="B187">
        <v>2025</v>
      </c>
      <c r="C187" t="s">
        <v>53</v>
      </c>
      <c r="D187" t="s">
        <v>29</v>
      </c>
      <c r="E187" t="s">
        <v>465</v>
      </c>
      <c r="F187" t="s">
        <v>31</v>
      </c>
      <c r="G187" t="s">
        <v>24</v>
      </c>
      <c r="H187">
        <v>1</v>
      </c>
      <c r="I187">
        <v>1</v>
      </c>
      <c r="J187">
        <v>0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f t="shared" si="6"/>
        <v>5</v>
      </c>
      <c r="U187">
        <f t="shared" si="7"/>
        <v>1</v>
      </c>
      <c r="V187" t="b">
        <f t="shared" si="8"/>
        <v>1</v>
      </c>
    </row>
    <row r="188" spans="1:22" x14ac:dyDescent="0.3">
      <c r="A188" t="s">
        <v>466</v>
      </c>
      <c r="B188">
        <v>2025</v>
      </c>
      <c r="C188" t="s">
        <v>28</v>
      </c>
      <c r="D188" t="s">
        <v>29</v>
      </c>
      <c r="E188" t="s">
        <v>467</v>
      </c>
      <c r="F188" t="s">
        <v>31</v>
      </c>
      <c r="G188" t="s">
        <v>24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f t="shared" si="6"/>
        <v>2</v>
      </c>
      <c r="U188">
        <f t="shared" si="7"/>
        <v>0</v>
      </c>
      <c r="V188" t="b">
        <f t="shared" si="8"/>
        <v>0</v>
      </c>
    </row>
    <row r="189" spans="1:22" x14ac:dyDescent="0.3">
      <c r="A189" t="s">
        <v>468</v>
      </c>
      <c r="B189">
        <v>2025</v>
      </c>
      <c r="C189" t="s">
        <v>280</v>
      </c>
      <c r="D189" t="s">
        <v>21</v>
      </c>
      <c r="E189" t="s">
        <v>469</v>
      </c>
      <c r="F189" t="s">
        <v>23</v>
      </c>
      <c r="G189" t="s">
        <v>24</v>
      </c>
      <c r="H189">
        <v>1</v>
      </c>
      <c r="I189">
        <v>1</v>
      </c>
      <c r="J189">
        <v>0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f t="shared" si="6"/>
        <v>5</v>
      </c>
      <c r="U189">
        <f t="shared" si="7"/>
        <v>0</v>
      </c>
      <c r="V189" t="b">
        <f t="shared" si="8"/>
        <v>1</v>
      </c>
    </row>
    <row r="190" spans="1:22" x14ac:dyDescent="0.3">
      <c r="A190" t="s">
        <v>470</v>
      </c>
      <c r="B190">
        <v>2025</v>
      </c>
      <c r="C190" t="s">
        <v>280</v>
      </c>
      <c r="D190" t="s">
        <v>21</v>
      </c>
      <c r="E190" t="s">
        <v>471</v>
      </c>
      <c r="F190" t="s">
        <v>23</v>
      </c>
      <c r="G190" t="s">
        <v>24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f t="shared" si="6"/>
        <v>2</v>
      </c>
      <c r="U190">
        <f t="shared" si="7"/>
        <v>0</v>
      </c>
      <c r="V190" t="b">
        <f t="shared" si="8"/>
        <v>0</v>
      </c>
    </row>
    <row r="191" spans="1:22" x14ac:dyDescent="0.3">
      <c r="A191" t="s">
        <v>472</v>
      </c>
      <c r="B191">
        <v>2025</v>
      </c>
      <c r="C191" t="s">
        <v>358</v>
      </c>
      <c r="D191" t="s">
        <v>21</v>
      </c>
      <c r="E191" t="s">
        <v>473</v>
      </c>
      <c r="F191" t="s">
        <v>35</v>
      </c>
      <c r="G191" t="s">
        <v>24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f t="shared" si="6"/>
        <v>2</v>
      </c>
      <c r="U191">
        <f t="shared" si="7"/>
        <v>0</v>
      </c>
      <c r="V191" t="b">
        <f t="shared" si="8"/>
        <v>0</v>
      </c>
    </row>
    <row r="192" spans="1:22" x14ac:dyDescent="0.3">
      <c r="A192" t="s">
        <v>474</v>
      </c>
      <c r="B192">
        <v>2025</v>
      </c>
      <c r="C192" t="s">
        <v>28</v>
      </c>
      <c r="D192" t="s">
        <v>29</v>
      </c>
      <c r="E192" t="s">
        <v>475</v>
      </c>
      <c r="F192" t="s">
        <v>31</v>
      </c>
      <c r="G192" t="s">
        <v>24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f t="shared" si="6"/>
        <v>3</v>
      </c>
      <c r="U192">
        <f t="shared" si="7"/>
        <v>0</v>
      </c>
      <c r="V192" t="b">
        <f t="shared" si="8"/>
        <v>0</v>
      </c>
    </row>
    <row r="193" spans="1:22" x14ac:dyDescent="0.3">
      <c r="A193" t="s">
        <v>476</v>
      </c>
      <c r="B193">
        <v>2025</v>
      </c>
      <c r="C193" t="s">
        <v>432</v>
      </c>
      <c r="D193" t="s">
        <v>21</v>
      </c>
      <c r="E193" t="s">
        <v>477</v>
      </c>
      <c r="F193" t="s">
        <v>35</v>
      </c>
      <c r="G193" t="s">
        <v>24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f t="shared" si="6"/>
        <v>2</v>
      </c>
      <c r="U193">
        <f t="shared" si="7"/>
        <v>0</v>
      </c>
      <c r="V193" t="b">
        <f t="shared" si="8"/>
        <v>0</v>
      </c>
    </row>
    <row r="194" spans="1:22" x14ac:dyDescent="0.3">
      <c r="A194" t="s">
        <v>478</v>
      </c>
      <c r="B194">
        <v>2025</v>
      </c>
      <c r="C194" t="s">
        <v>358</v>
      </c>
      <c r="D194" t="s">
        <v>21</v>
      </c>
      <c r="E194" t="s">
        <v>479</v>
      </c>
      <c r="F194" t="s">
        <v>35</v>
      </c>
      <c r="G194" t="s">
        <v>24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f t="shared" si="6"/>
        <v>3</v>
      </c>
      <c r="U194">
        <f t="shared" si="7"/>
        <v>1</v>
      </c>
      <c r="V194" t="b">
        <f t="shared" si="8"/>
        <v>0</v>
      </c>
    </row>
    <row r="195" spans="1:22" x14ac:dyDescent="0.3">
      <c r="A195" t="s">
        <v>480</v>
      </c>
      <c r="B195">
        <v>2025</v>
      </c>
      <c r="C195" t="s">
        <v>317</v>
      </c>
      <c r="D195" t="s">
        <v>21</v>
      </c>
      <c r="E195" t="s">
        <v>481</v>
      </c>
      <c r="F195" t="s">
        <v>23</v>
      </c>
      <c r="G195" t="s">
        <v>24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f t="shared" ref="T195:T258" si="9">SUM(H195:M195)</f>
        <v>3</v>
      </c>
      <c r="U195">
        <f t="shared" ref="U195:U258" si="10">SUM(N195:R195)</f>
        <v>0</v>
      </c>
      <c r="V195" t="b">
        <f t="shared" ref="V195:V258" si="11">T195&gt;4</f>
        <v>0</v>
      </c>
    </row>
    <row r="196" spans="1:22" x14ac:dyDescent="0.3">
      <c r="A196" t="s">
        <v>482</v>
      </c>
      <c r="B196">
        <v>2025</v>
      </c>
      <c r="C196" t="s">
        <v>53</v>
      </c>
      <c r="D196" t="s">
        <v>29</v>
      </c>
      <c r="E196" t="s">
        <v>483</v>
      </c>
      <c r="F196" t="s">
        <v>31</v>
      </c>
      <c r="G196" t="s">
        <v>24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f t="shared" si="9"/>
        <v>3</v>
      </c>
      <c r="U196">
        <f t="shared" si="10"/>
        <v>1</v>
      </c>
      <c r="V196" t="b">
        <f t="shared" si="11"/>
        <v>0</v>
      </c>
    </row>
    <row r="197" spans="1:22" x14ac:dyDescent="0.3">
      <c r="A197" t="s">
        <v>484</v>
      </c>
      <c r="B197">
        <v>2025</v>
      </c>
      <c r="C197" t="s">
        <v>435</v>
      </c>
      <c r="D197" t="s">
        <v>21</v>
      </c>
      <c r="E197" t="s">
        <v>485</v>
      </c>
      <c r="F197" t="s">
        <v>35</v>
      </c>
      <c r="G197" t="s">
        <v>24</v>
      </c>
      <c r="H197">
        <v>1</v>
      </c>
      <c r="I197">
        <v>1</v>
      </c>
      <c r="J197">
        <v>0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f t="shared" si="9"/>
        <v>5</v>
      </c>
      <c r="U197">
        <f t="shared" si="10"/>
        <v>1</v>
      </c>
      <c r="V197" t="b">
        <f t="shared" si="11"/>
        <v>1</v>
      </c>
    </row>
    <row r="198" spans="1:22" x14ac:dyDescent="0.3">
      <c r="A198" t="s">
        <v>486</v>
      </c>
      <c r="B198">
        <v>2025</v>
      </c>
      <c r="C198" t="s">
        <v>435</v>
      </c>
      <c r="D198" t="s">
        <v>21</v>
      </c>
      <c r="E198" t="s">
        <v>487</v>
      </c>
      <c r="F198" t="s">
        <v>35</v>
      </c>
      <c r="G198" t="s">
        <v>24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f t="shared" si="9"/>
        <v>2</v>
      </c>
      <c r="U198">
        <f t="shared" si="10"/>
        <v>1</v>
      </c>
      <c r="V198" t="b">
        <f t="shared" si="11"/>
        <v>0</v>
      </c>
    </row>
    <row r="199" spans="1:22" x14ac:dyDescent="0.3">
      <c r="A199" t="s">
        <v>488</v>
      </c>
      <c r="B199">
        <v>2025</v>
      </c>
      <c r="C199" t="s">
        <v>489</v>
      </c>
      <c r="D199" t="s">
        <v>21</v>
      </c>
      <c r="E199" t="s">
        <v>490</v>
      </c>
      <c r="F199" t="s">
        <v>35</v>
      </c>
      <c r="G199" t="s">
        <v>24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f t="shared" si="9"/>
        <v>2</v>
      </c>
      <c r="U199">
        <f t="shared" si="10"/>
        <v>0</v>
      </c>
      <c r="V199" t="b">
        <f t="shared" si="11"/>
        <v>0</v>
      </c>
    </row>
    <row r="200" spans="1:22" x14ac:dyDescent="0.3">
      <c r="A200" t="s">
        <v>491</v>
      </c>
      <c r="B200">
        <v>2025</v>
      </c>
      <c r="C200" t="s">
        <v>53</v>
      </c>
      <c r="D200" t="s">
        <v>29</v>
      </c>
      <c r="E200" t="s">
        <v>492</v>
      </c>
      <c r="F200" t="s">
        <v>31</v>
      </c>
      <c r="G200" t="s">
        <v>24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f t="shared" si="9"/>
        <v>3</v>
      </c>
      <c r="U200">
        <f t="shared" si="10"/>
        <v>1</v>
      </c>
      <c r="V200" t="b">
        <f t="shared" si="11"/>
        <v>0</v>
      </c>
    </row>
    <row r="201" spans="1:22" x14ac:dyDescent="0.3">
      <c r="A201" t="s">
        <v>493</v>
      </c>
      <c r="B201">
        <v>2025</v>
      </c>
      <c r="C201" t="s">
        <v>283</v>
      </c>
      <c r="D201" t="s">
        <v>21</v>
      </c>
      <c r="E201" t="s">
        <v>494</v>
      </c>
      <c r="F201" t="s">
        <v>23</v>
      </c>
      <c r="G201" t="s">
        <v>24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f t="shared" si="9"/>
        <v>3</v>
      </c>
      <c r="U201">
        <f t="shared" si="10"/>
        <v>0</v>
      </c>
      <c r="V201" t="b">
        <f t="shared" si="11"/>
        <v>0</v>
      </c>
    </row>
    <row r="202" spans="1:22" x14ac:dyDescent="0.3">
      <c r="A202" t="s">
        <v>495</v>
      </c>
      <c r="B202">
        <v>2025</v>
      </c>
      <c r="C202" t="s">
        <v>496</v>
      </c>
      <c r="D202" t="s">
        <v>21</v>
      </c>
      <c r="E202" t="s">
        <v>497</v>
      </c>
      <c r="F202" t="s">
        <v>35</v>
      </c>
      <c r="G202" t="s">
        <v>24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f t="shared" si="9"/>
        <v>2</v>
      </c>
      <c r="U202">
        <f t="shared" si="10"/>
        <v>0</v>
      </c>
      <c r="V202" t="b">
        <f t="shared" si="11"/>
        <v>0</v>
      </c>
    </row>
    <row r="203" spans="1:22" x14ac:dyDescent="0.3">
      <c r="A203" t="s">
        <v>498</v>
      </c>
      <c r="B203">
        <v>2025</v>
      </c>
      <c r="C203" t="s">
        <v>499</v>
      </c>
      <c r="D203" t="s">
        <v>21</v>
      </c>
      <c r="E203" t="s">
        <v>500</v>
      </c>
      <c r="F203" t="s">
        <v>35</v>
      </c>
      <c r="G203" t="s">
        <v>24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f t="shared" si="9"/>
        <v>2</v>
      </c>
      <c r="U203">
        <f t="shared" si="10"/>
        <v>0</v>
      </c>
      <c r="V203" t="b">
        <f t="shared" si="11"/>
        <v>0</v>
      </c>
    </row>
    <row r="204" spans="1:22" x14ac:dyDescent="0.3">
      <c r="A204" t="s">
        <v>501</v>
      </c>
      <c r="B204">
        <v>2025</v>
      </c>
      <c r="C204" t="s">
        <v>280</v>
      </c>
      <c r="D204" t="s">
        <v>21</v>
      </c>
      <c r="E204" t="s">
        <v>502</v>
      </c>
      <c r="F204" t="s">
        <v>23</v>
      </c>
      <c r="G204" t="s">
        <v>24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f t="shared" si="9"/>
        <v>2</v>
      </c>
      <c r="U204">
        <f t="shared" si="10"/>
        <v>0</v>
      </c>
      <c r="V204" t="b">
        <f t="shared" si="11"/>
        <v>0</v>
      </c>
    </row>
    <row r="205" spans="1:22" x14ac:dyDescent="0.3">
      <c r="A205" t="s">
        <v>503</v>
      </c>
      <c r="B205">
        <v>2025</v>
      </c>
      <c r="C205" t="s">
        <v>48</v>
      </c>
      <c r="D205" t="s">
        <v>29</v>
      </c>
      <c r="E205" t="s">
        <v>504</v>
      </c>
      <c r="F205" t="s">
        <v>31</v>
      </c>
      <c r="G205" t="s">
        <v>24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f t="shared" si="9"/>
        <v>2</v>
      </c>
      <c r="U205">
        <f t="shared" si="10"/>
        <v>0</v>
      </c>
      <c r="V205" t="b">
        <f t="shared" si="11"/>
        <v>0</v>
      </c>
    </row>
    <row r="206" spans="1:22" x14ac:dyDescent="0.3">
      <c r="A206" t="s">
        <v>505</v>
      </c>
      <c r="B206">
        <v>2025</v>
      </c>
      <c r="C206" t="s">
        <v>48</v>
      </c>
      <c r="D206" t="s">
        <v>29</v>
      </c>
      <c r="E206" t="s">
        <v>506</v>
      </c>
      <c r="F206" t="s">
        <v>31</v>
      </c>
      <c r="G206" t="s">
        <v>24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f t="shared" si="9"/>
        <v>2</v>
      </c>
      <c r="U206">
        <f t="shared" si="10"/>
        <v>0</v>
      </c>
      <c r="V206" t="b">
        <f t="shared" si="11"/>
        <v>0</v>
      </c>
    </row>
    <row r="207" spans="1:22" x14ac:dyDescent="0.3">
      <c r="A207" t="s">
        <v>507</v>
      </c>
      <c r="B207">
        <v>2025</v>
      </c>
      <c r="C207" t="s">
        <v>508</v>
      </c>
      <c r="D207" t="s">
        <v>21</v>
      </c>
      <c r="E207" t="s">
        <v>509</v>
      </c>
      <c r="F207" t="s">
        <v>510</v>
      </c>
      <c r="G207" t="s">
        <v>24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f t="shared" si="9"/>
        <v>2</v>
      </c>
      <c r="U207">
        <f t="shared" si="10"/>
        <v>0</v>
      </c>
      <c r="V207" t="b">
        <f t="shared" si="11"/>
        <v>0</v>
      </c>
    </row>
    <row r="208" spans="1:22" x14ac:dyDescent="0.3">
      <c r="A208" t="s">
        <v>511</v>
      </c>
      <c r="B208">
        <v>2025</v>
      </c>
      <c r="C208" t="s">
        <v>358</v>
      </c>
      <c r="D208" t="s">
        <v>21</v>
      </c>
      <c r="E208" t="s">
        <v>512</v>
      </c>
      <c r="F208" t="s">
        <v>35</v>
      </c>
      <c r="G208" t="s">
        <v>24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f t="shared" si="9"/>
        <v>2</v>
      </c>
      <c r="U208">
        <f t="shared" si="10"/>
        <v>0</v>
      </c>
      <c r="V208" t="b">
        <f t="shared" si="11"/>
        <v>0</v>
      </c>
    </row>
    <row r="209" spans="1:22" x14ac:dyDescent="0.3">
      <c r="A209" t="s">
        <v>513</v>
      </c>
      <c r="B209">
        <v>2025</v>
      </c>
      <c r="C209" t="s">
        <v>514</v>
      </c>
      <c r="D209" t="s">
        <v>21</v>
      </c>
      <c r="E209" t="s">
        <v>515</v>
      </c>
      <c r="F209" t="s">
        <v>35</v>
      </c>
      <c r="G209" t="s">
        <v>24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f t="shared" si="9"/>
        <v>2</v>
      </c>
      <c r="U209">
        <f t="shared" si="10"/>
        <v>0</v>
      </c>
      <c r="V209" t="b">
        <f t="shared" si="11"/>
        <v>0</v>
      </c>
    </row>
    <row r="210" spans="1:22" x14ac:dyDescent="0.3">
      <c r="A210" t="s">
        <v>516</v>
      </c>
      <c r="B210">
        <v>2025</v>
      </c>
      <c r="C210" t="s">
        <v>280</v>
      </c>
      <c r="D210" t="s">
        <v>21</v>
      </c>
      <c r="E210" t="s">
        <v>517</v>
      </c>
      <c r="F210" t="s">
        <v>23</v>
      </c>
      <c r="G210" t="s">
        <v>24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f t="shared" si="9"/>
        <v>3</v>
      </c>
      <c r="U210">
        <f t="shared" si="10"/>
        <v>0</v>
      </c>
      <c r="V210" t="b">
        <f t="shared" si="11"/>
        <v>0</v>
      </c>
    </row>
    <row r="211" spans="1:22" x14ac:dyDescent="0.3">
      <c r="A211" t="s">
        <v>518</v>
      </c>
      <c r="B211">
        <v>2025</v>
      </c>
      <c r="C211" t="s">
        <v>28</v>
      </c>
      <c r="D211" t="s">
        <v>29</v>
      </c>
      <c r="E211" t="s">
        <v>519</v>
      </c>
      <c r="F211" t="s">
        <v>31</v>
      </c>
      <c r="G211" t="s">
        <v>24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f t="shared" si="9"/>
        <v>3</v>
      </c>
      <c r="U211">
        <f t="shared" si="10"/>
        <v>0</v>
      </c>
      <c r="V211" t="b">
        <f t="shared" si="11"/>
        <v>0</v>
      </c>
    </row>
    <row r="212" spans="1:22" x14ac:dyDescent="0.3">
      <c r="A212" t="s">
        <v>520</v>
      </c>
      <c r="B212">
        <v>2025</v>
      </c>
      <c r="C212" t="s">
        <v>521</v>
      </c>
      <c r="D212" t="s">
        <v>21</v>
      </c>
      <c r="E212" t="s">
        <v>522</v>
      </c>
      <c r="F212" t="s">
        <v>35</v>
      </c>
      <c r="G212" t="s">
        <v>24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f t="shared" si="9"/>
        <v>2</v>
      </c>
      <c r="U212">
        <f t="shared" si="10"/>
        <v>0</v>
      </c>
      <c r="V212" t="b">
        <f t="shared" si="11"/>
        <v>0</v>
      </c>
    </row>
    <row r="213" spans="1:22" x14ac:dyDescent="0.3">
      <c r="A213" t="s">
        <v>523</v>
      </c>
      <c r="B213">
        <v>2025</v>
      </c>
      <c r="C213" t="s">
        <v>53</v>
      </c>
      <c r="D213" t="s">
        <v>29</v>
      </c>
      <c r="E213" t="s">
        <v>524</v>
      </c>
      <c r="F213" t="s">
        <v>31</v>
      </c>
      <c r="G213" t="s">
        <v>24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f t="shared" si="9"/>
        <v>2</v>
      </c>
      <c r="U213">
        <f t="shared" si="10"/>
        <v>0</v>
      </c>
      <c r="V213" t="b">
        <f t="shared" si="11"/>
        <v>0</v>
      </c>
    </row>
    <row r="214" spans="1:22" x14ac:dyDescent="0.3">
      <c r="A214" t="s">
        <v>525</v>
      </c>
      <c r="B214">
        <v>2025</v>
      </c>
      <c r="C214" t="s">
        <v>521</v>
      </c>
      <c r="D214" t="s">
        <v>21</v>
      </c>
      <c r="E214" t="s">
        <v>526</v>
      </c>
      <c r="F214" t="s">
        <v>35</v>
      </c>
      <c r="G214" t="s">
        <v>24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f t="shared" si="9"/>
        <v>3</v>
      </c>
      <c r="U214">
        <f t="shared" si="10"/>
        <v>1</v>
      </c>
      <c r="V214" t="b">
        <f t="shared" si="11"/>
        <v>0</v>
      </c>
    </row>
    <row r="215" spans="1:22" x14ac:dyDescent="0.3">
      <c r="A215" t="s">
        <v>527</v>
      </c>
      <c r="B215">
        <v>2025</v>
      </c>
      <c r="C215" t="s">
        <v>53</v>
      </c>
      <c r="D215" t="s">
        <v>29</v>
      </c>
      <c r="E215" t="s">
        <v>528</v>
      </c>
      <c r="F215" t="s">
        <v>31</v>
      </c>
      <c r="G215" t="s">
        <v>24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f t="shared" si="9"/>
        <v>2</v>
      </c>
      <c r="U215">
        <f t="shared" si="10"/>
        <v>0</v>
      </c>
      <c r="V215" t="b">
        <f t="shared" si="11"/>
        <v>0</v>
      </c>
    </row>
    <row r="216" spans="1:22" x14ac:dyDescent="0.3">
      <c r="A216" t="s">
        <v>529</v>
      </c>
      <c r="B216">
        <v>2025</v>
      </c>
      <c r="C216" t="s">
        <v>280</v>
      </c>
      <c r="D216" t="s">
        <v>21</v>
      </c>
      <c r="E216" t="s">
        <v>530</v>
      </c>
      <c r="F216" t="s">
        <v>23</v>
      </c>
      <c r="G216" t="s">
        <v>24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f t="shared" si="9"/>
        <v>2</v>
      </c>
      <c r="U216">
        <f t="shared" si="10"/>
        <v>0</v>
      </c>
      <c r="V216" t="b">
        <f t="shared" si="11"/>
        <v>0</v>
      </c>
    </row>
    <row r="217" spans="1:22" x14ac:dyDescent="0.3">
      <c r="A217" t="s">
        <v>531</v>
      </c>
      <c r="B217">
        <v>2025</v>
      </c>
      <c r="C217" t="s">
        <v>48</v>
      </c>
      <c r="D217" t="s">
        <v>29</v>
      </c>
      <c r="E217" t="s">
        <v>532</v>
      </c>
      <c r="F217" t="s">
        <v>31</v>
      </c>
      <c r="G217" t="s">
        <v>24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f t="shared" si="9"/>
        <v>3</v>
      </c>
      <c r="U217">
        <f t="shared" si="10"/>
        <v>0</v>
      </c>
      <c r="V217" t="b">
        <f t="shared" si="11"/>
        <v>0</v>
      </c>
    </row>
    <row r="218" spans="1:22" x14ac:dyDescent="0.3">
      <c r="A218" t="s">
        <v>533</v>
      </c>
      <c r="B218">
        <v>2025</v>
      </c>
      <c r="C218" t="s">
        <v>514</v>
      </c>
      <c r="D218" t="s">
        <v>21</v>
      </c>
      <c r="E218" t="s">
        <v>534</v>
      </c>
      <c r="F218" t="s">
        <v>35</v>
      </c>
      <c r="G218" t="s">
        <v>24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f t="shared" si="9"/>
        <v>2</v>
      </c>
      <c r="U218">
        <f t="shared" si="10"/>
        <v>0</v>
      </c>
      <c r="V218" t="b">
        <f t="shared" si="11"/>
        <v>0</v>
      </c>
    </row>
    <row r="219" spans="1:22" x14ac:dyDescent="0.3">
      <c r="A219" t="s">
        <v>535</v>
      </c>
      <c r="B219">
        <v>2025</v>
      </c>
      <c r="C219" t="s">
        <v>48</v>
      </c>
      <c r="D219" t="s">
        <v>29</v>
      </c>
      <c r="E219" t="s">
        <v>536</v>
      </c>
      <c r="F219" t="s">
        <v>31</v>
      </c>
      <c r="G219" t="s">
        <v>24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f t="shared" si="9"/>
        <v>2</v>
      </c>
      <c r="U219">
        <f t="shared" si="10"/>
        <v>0</v>
      </c>
      <c r="V219" t="b">
        <f t="shared" si="11"/>
        <v>0</v>
      </c>
    </row>
    <row r="220" spans="1:22" x14ac:dyDescent="0.3">
      <c r="A220" t="s">
        <v>537</v>
      </c>
      <c r="B220">
        <v>2025</v>
      </c>
      <c r="C220" t="s">
        <v>496</v>
      </c>
      <c r="D220" t="s">
        <v>21</v>
      </c>
      <c r="E220" t="s">
        <v>538</v>
      </c>
      <c r="F220" t="s">
        <v>35</v>
      </c>
      <c r="G220" t="s">
        <v>24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f t="shared" si="9"/>
        <v>3</v>
      </c>
      <c r="U220">
        <f t="shared" si="10"/>
        <v>1</v>
      </c>
      <c r="V220" t="b">
        <f t="shared" si="11"/>
        <v>0</v>
      </c>
    </row>
    <row r="221" spans="1:22" x14ac:dyDescent="0.3">
      <c r="A221" t="s">
        <v>539</v>
      </c>
      <c r="B221">
        <v>2025</v>
      </c>
      <c r="C221" t="s">
        <v>496</v>
      </c>
      <c r="D221" t="s">
        <v>21</v>
      </c>
      <c r="E221" t="s">
        <v>540</v>
      </c>
      <c r="F221" t="s">
        <v>35</v>
      </c>
      <c r="G221" t="s">
        <v>24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f t="shared" si="9"/>
        <v>3</v>
      </c>
      <c r="U221">
        <f t="shared" si="10"/>
        <v>0</v>
      </c>
      <c r="V221" t="b">
        <f t="shared" si="11"/>
        <v>0</v>
      </c>
    </row>
    <row r="222" spans="1:22" x14ac:dyDescent="0.3">
      <c r="A222" t="s">
        <v>541</v>
      </c>
      <c r="B222">
        <v>2025</v>
      </c>
      <c r="C222" t="s">
        <v>432</v>
      </c>
      <c r="D222" t="s">
        <v>21</v>
      </c>
      <c r="E222" t="s">
        <v>542</v>
      </c>
      <c r="F222" t="s">
        <v>35</v>
      </c>
      <c r="G222" t="s">
        <v>24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f t="shared" si="9"/>
        <v>2</v>
      </c>
      <c r="U222">
        <f t="shared" si="10"/>
        <v>0</v>
      </c>
      <c r="V222" t="b">
        <f t="shared" si="11"/>
        <v>0</v>
      </c>
    </row>
    <row r="223" spans="1:22" x14ac:dyDescent="0.3">
      <c r="A223" t="s">
        <v>543</v>
      </c>
      <c r="B223">
        <v>2025</v>
      </c>
      <c r="C223" t="s">
        <v>544</v>
      </c>
      <c r="D223" t="s">
        <v>21</v>
      </c>
      <c r="E223" t="s">
        <v>545</v>
      </c>
      <c r="F223" t="s">
        <v>35</v>
      </c>
      <c r="G223" t="s">
        <v>24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f t="shared" si="9"/>
        <v>2</v>
      </c>
      <c r="U223">
        <f t="shared" si="10"/>
        <v>0</v>
      </c>
      <c r="V223" t="b">
        <f t="shared" si="11"/>
        <v>0</v>
      </c>
    </row>
    <row r="224" spans="1:22" x14ac:dyDescent="0.3">
      <c r="A224" t="s">
        <v>546</v>
      </c>
      <c r="B224">
        <v>2025</v>
      </c>
      <c r="C224" t="s">
        <v>496</v>
      </c>
      <c r="D224" t="s">
        <v>21</v>
      </c>
      <c r="E224" t="s">
        <v>547</v>
      </c>
      <c r="F224" t="s">
        <v>35</v>
      </c>
      <c r="G224" t="s">
        <v>24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f t="shared" si="9"/>
        <v>2</v>
      </c>
      <c r="U224">
        <f t="shared" si="10"/>
        <v>0</v>
      </c>
      <c r="V224" t="b">
        <f t="shared" si="11"/>
        <v>0</v>
      </c>
    </row>
    <row r="225" spans="1:22" x14ac:dyDescent="0.3">
      <c r="A225" t="s">
        <v>548</v>
      </c>
      <c r="B225">
        <v>2025</v>
      </c>
      <c r="C225" t="s">
        <v>549</v>
      </c>
      <c r="D225" t="s">
        <v>29</v>
      </c>
      <c r="E225" t="s">
        <v>550</v>
      </c>
      <c r="F225" t="s">
        <v>31</v>
      </c>
      <c r="G225" t="s">
        <v>24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f t="shared" si="9"/>
        <v>2</v>
      </c>
      <c r="U225">
        <f t="shared" si="10"/>
        <v>0</v>
      </c>
      <c r="V225" t="b">
        <f t="shared" si="11"/>
        <v>0</v>
      </c>
    </row>
    <row r="226" spans="1:22" x14ac:dyDescent="0.3">
      <c r="A226" t="s">
        <v>551</v>
      </c>
      <c r="B226">
        <v>2025</v>
      </c>
      <c r="C226" t="s">
        <v>552</v>
      </c>
      <c r="D226" t="s">
        <v>21</v>
      </c>
      <c r="E226" t="s">
        <v>553</v>
      </c>
      <c r="F226" t="s">
        <v>23</v>
      </c>
      <c r="G226" t="s">
        <v>24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f t="shared" si="9"/>
        <v>3</v>
      </c>
      <c r="U226">
        <f t="shared" si="10"/>
        <v>0</v>
      </c>
      <c r="V226" t="b">
        <f t="shared" si="11"/>
        <v>0</v>
      </c>
    </row>
    <row r="227" spans="1:22" x14ac:dyDescent="0.3">
      <c r="A227" t="s">
        <v>554</v>
      </c>
      <c r="B227">
        <v>2025</v>
      </c>
      <c r="C227" t="s">
        <v>555</v>
      </c>
      <c r="D227" t="s">
        <v>21</v>
      </c>
      <c r="E227" t="s">
        <v>556</v>
      </c>
      <c r="F227" t="s">
        <v>23</v>
      </c>
      <c r="G227" t="s">
        <v>24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f t="shared" si="9"/>
        <v>6</v>
      </c>
      <c r="U227">
        <f t="shared" si="10"/>
        <v>0</v>
      </c>
      <c r="V227" t="b">
        <f t="shared" si="11"/>
        <v>1</v>
      </c>
    </row>
    <row r="228" spans="1:22" x14ac:dyDescent="0.3">
      <c r="A228" t="s">
        <v>557</v>
      </c>
      <c r="B228">
        <v>2025</v>
      </c>
      <c r="C228" t="s">
        <v>555</v>
      </c>
      <c r="D228" t="s">
        <v>21</v>
      </c>
      <c r="E228" t="s">
        <v>558</v>
      </c>
      <c r="F228" t="s">
        <v>23</v>
      </c>
      <c r="G228" t="s">
        <v>24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f t="shared" si="9"/>
        <v>4</v>
      </c>
      <c r="U228">
        <f t="shared" si="10"/>
        <v>0</v>
      </c>
      <c r="V228" t="b">
        <f t="shared" si="11"/>
        <v>0</v>
      </c>
    </row>
    <row r="229" spans="1:22" x14ac:dyDescent="0.3">
      <c r="A229" t="s">
        <v>559</v>
      </c>
      <c r="B229">
        <v>2025</v>
      </c>
      <c r="C229" t="s">
        <v>129</v>
      </c>
      <c r="D229" t="s">
        <v>172</v>
      </c>
      <c r="E229" t="s">
        <v>560</v>
      </c>
      <c r="F229" t="s">
        <v>39</v>
      </c>
      <c r="G229" t="s">
        <v>24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f t="shared" si="9"/>
        <v>3</v>
      </c>
      <c r="U229">
        <f t="shared" si="10"/>
        <v>0</v>
      </c>
      <c r="V229" t="b">
        <f t="shared" si="11"/>
        <v>0</v>
      </c>
    </row>
    <row r="230" spans="1:22" x14ac:dyDescent="0.3">
      <c r="A230" t="s">
        <v>561</v>
      </c>
      <c r="B230">
        <v>2025</v>
      </c>
      <c r="C230" t="s">
        <v>555</v>
      </c>
      <c r="D230" t="s">
        <v>21</v>
      </c>
      <c r="E230" t="s">
        <v>562</v>
      </c>
      <c r="F230" t="s">
        <v>23</v>
      </c>
      <c r="G230" t="s">
        <v>24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f t="shared" si="9"/>
        <v>3</v>
      </c>
      <c r="U230">
        <f t="shared" si="10"/>
        <v>0</v>
      </c>
      <c r="V230" t="b">
        <f t="shared" si="11"/>
        <v>0</v>
      </c>
    </row>
    <row r="231" spans="1:22" x14ac:dyDescent="0.3">
      <c r="A231" t="s">
        <v>563</v>
      </c>
      <c r="B231">
        <v>2025</v>
      </c>
      <c r="C231" t="s">
        <v>564</v>
      </c>
      <c r="D231" t="s">
        <v>21</v>
      </c>
      <c r="E231" t="s">
        <v>565</v>
      </c>
      <c r="F231" t="s">
        <v>23</v>
      </c>
      <c r="G231" t="s">
        <v>24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f t="shared" si="9"/>
        <v>3</v>
      </c>
      <c r="U231">
        <f t="shared" si="10"/>
        <v>0</v>
      </c>
      <c r="V231" t="b">
        <f t="shared" si="11"/>
        <v>0</v>
      </c>
    </row>
    <row r="232" spans="1:22" x14ac:dyDescent="0.3">
      <c r="A232" t="s">
        <v>566</v>
      </c>
      <c r="B232">
        <v>2025</v>
      </c>
      <c r="C232" t="s">
        <v>133</v>
      </c>
      <c r="D232" t="s">
        <v>29</v>
      </c>
      <c r="E232" t="s">
        <v>567</v>
      </c>
      <c r="F232" t="s">
        <v>39</v>
      </c>
      <c r="G232" t="s">
        <v>24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f t="shared" si="9"/>
        <v>3</v>
      </c>
      <c r="U232">
        <f t="shared" si="10"/>
        <v>0</v>
      </c>
      <c r="V232" t="b">
        <f t="shared" si="11"/>
        <v>0</v>
      </c>
    </row>
    <row r="233" spans="1:22" x14ac:dyDescent="0.3">
      <c r="A233" t="s">
        <v>568</v>
      </c>
      <c r="B233">
        <v>2025</v>
      </c>
      <c r="C233" t="s">
        <v>133</v>
      </c>
      <c r="D233" t="s">
        <v>29</v>
      </c>
      <c r="E233" t="s">
        <v>569</v>
      </c>
      <c r="F233" t="s">
        <v>39</v>
      </c>
      <c r="G233" t="s">
        <v>24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f t="shared" si="9"/>
        <v>3</v>
      </c>
      <c r="U233">
        <f t="shared" si="10"/>
        <v>0</v>
      </c>
      <c r="V233" t="b">
        <f t="shared" si="11"/>
        <v>0</v>
      </c>
    </row>
    <row r="234" spans="1:22" x14ac:dyDescent="0.3">
      <c r="A234" t="s">
        <v>570</v>
      </c>
      <c r="B234">
        <v>2025</v>
      </c>
      <c r="C234" t="s">
        <v>571</v>
      </c>
      <c r="D234" t="s">
        <v>21</v>
      </c>
      <c r="E234" t="s">
        <v>572</v>
      </c>
      <c r="F234" t="s">
        <v>23</v>
      </c>
      <c r="G234" t="s">
        <v>24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f t="shared" si="9"/>
        <v>2</v>
      </c>
      <c r="U234">
        <f t="shared" si="10"/>
        <v>0</v>
      </c>
      <c r="V234" t="b">
        <f t="shared" si="11"/>
        <v>0</v>
      </c>
    </row>
    <row r="235" spans="1:22" x14ac:dyDescent="0.3">
      <c r="A235" t="s">
        <v>573</v>
      </c>
      <c r="B235">
        <v>2025</v>
      </c>
      <c r="C235" t="s">
        <v>574</v>
      </c>
      <c r="D235" t="s">
        <v>21</v>
      </c>
      <c r="E235" t="s">
        <v>575</v>
      </c>
      <c r="F235" t="s">
        <v>510</v>
      </c>
      <c r="G235" t="s">
        <v>24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f t="shared" si="9"/>
        <v>3</v>
      </c>
      <c r="U235">
        <f t="shared" si="10"/>
        <v>0</v>
      </c>
      <c r="V235" t="b">
        <f t="shared" si="11"/>
        <v>0</v>
      </c>
    </row>
    <row r="236" spans="1:22" x14ac:dyDescent="0.3">
      <c r="A236" t="s">
        <v>576</v>
      </c>
      <c r="B236">
        <v>2025</v>
      </c>
      <c r="C236" t="s">
        <v>577</v>
      </c>
      <c r="D236" t="s">
        <v>21</v>
      </c>
      <c r="E236" t="s">
        <v>578</v>
      </c>
      <c r="F236" t="s">
        <v>23</v>
      </c>
      <c r="G236" t="s">
        <v>24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f t="shared" si="9"/>
        <v>2</v>
      </c>
      <c r="U236">
        <f t="shared" si="10"/>
        <v>0</v>
      </c>
      <c r="V236" t="b">
        <f t="shared" si="11"/>
        <v>0</v>
      </c>
    </row>
    <row r="237" spans="1:22" x14ac:dyDescent="0.3">
      <c r="A237" t="s">
        <v>579</v>
      </c>
      <c r="B237">
        <v>2025</v>
      </c>
      <c r="C237" t="s">
        <v>580</v>
      </c>
      <c r="D237" t="s">
        <v>21</v>
      </c>
      <c r="E237" t="s">
        <v>581</v>
      </c>
      <c r="F237" t="s">
        <v>23</v>
      </c>
      <c r="G237" t="s">
        <v>24</v>
      </c>
      <c r="H237">
        <v>1</v>
      </c>
      <c r="I237">
        <v>0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f t="shared" si="9"/>
        <v>4</v>
      </c>
      <c r="U237">
        <f t="shared" si="10"/>
        <v>0</v>
      </c>
      <c r="V237" t="b">
        <f t="shared" si="11"/>
        <v>0</v>
      </c>
    </row>
    <row r="238" spans="1:22" x14ac:dyDescent="0.3">
      <c r="A238" t="s">
        <v>582</v>
      </c>
      <c r="B238">
        <v>2025</v>
      </c>
      <c r="C238" t="s">
        <v>583</v>
      </c>
      <c r="D238" t="s">
        <v>323</v>
      </c>
      <c r="E238" t="s">
        <v>584</v>
      </c>
      <c r="F238" t="s">
        <v>23</v>
      </c>
      <c r="G238" t="s">
        <v>24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f t="shared" si="9"/>
        <v>3</v>
      </c>
      <c r="U238">
        <f t="shared" si="10"/>
        <v>1</v>
      </c>
      <c r="V238" t="b">
        <f t="shared" si="11"/>
        <v>0</v>
      </c>
    </row>
    <row r="239" spans="1:22" x14ac:dyDescent="0.3">
      <c r="A239" t="s">
        <v>585</v>
      </c>
      <c r="B239">
        <v>2025</v>
      </c>
      <c r="C239" t="s">
        <v>133</v>
      </c>
      <c r="D239" t="s">
        <v>29</v>
      </c>
      <c r="E239" t="s">
        <v>586</v>
      </c>
      <c r="F239" t="s">
        <v>39</v>
      </c>
      <c r="G239" t="s">
        <v>24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f t="shared" si="9"/>
        <v>3</v>
      </c>
      <c r="U239">
        <f t="shared" si="10"/>
        <v>0</v>
      </c>
      <c r="V239" t="b">
        <f t="shared" si="11"/>
        <v>0</v>
      </c>
    </row>
    <row r="240" spans="1:22" x14ac:dyDescent="0.3">
      <c r="A240" t="s">
        <v>587</v>
      </c>
      <c r="B240">
        <v>2025</v>
      </c>
      <c r="C240" t="s">
        <v>555</v>
      </c>
      <c r="D240" t="s">
        <v>21</v>
      </c>
      <c r="E240" t="s">
        <v>588</v>
      </c>
      <c r="F240" t="s">
        <v>23</v>
      </c>
      <c r="G240" t="s">
        <v>24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f t="shared" si="9"/>
        <v>3</v>
      </c>
      <c r="U240">
        <f t="shared" si="10"/>
        <v>0</v>
      </c>
      <c r="V240" t="b">
        <f t="shared" si="11"/>
        <v>0</v>
      </c>
    </row>
    <row r="241" spans="1:22" x14ac:dyDescent="0.3">
      <c r="A241" t="s">
        <v>589</v>
      </c>
      <c r="B241">
        <v>2025</v>
      </c>
      <c r="C241" t="s">
        <v>590</v>
      </c>
      <c r="D241" t="s">
        <v>29</v>
      </c>
      <c r="E241" t="s">
        <v>591</v>
      </c>
      <c r="F241" t="s">
        <v>31</v>
      </c>
      <c r="G241" t="s">
        <v>24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f t="shared" si="9"/>
        <v>3</v>
      </c>
      <c r="U241">
        <f t="shared" si="10"/>
        <v>0</v>
      </c>
      <c r="V241" t="b">
        <f t="shared" si="11"/>
        <v>0</v>
      </c>
    </row>
    <row r="242" spans="1:22" x14ac:dyDescent="0.3">
      <c r="A242" t="s">
        <v>592</v>
      </c>
      <c r="B242">
        <v>2025</v>
      </c>
      <c r="C242" t="s">
        <v>138</v>
      </c>
      <c r="D242" t="s">
        <v>29</v>
      </c>
      <c r="E242" t="s">
        <v>593</v>
      </c>
      <c r="F242" t="s">
        <v>39</v>
      </c>
      <c r="G242" t="s">
        <v>24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f t="shared" si="9"/>
        <v>3</v>
      </c>
      <c r="U242">
        <f t="shared" si="10"/>
        <v>0</v>
      </c>
      <c r="V242" t="b">
        <f t="shared" si="11"/>
        <v>0</v>
      </c>
    </row>
    <row r="243" spans="1:22" x14ac:dyDescent="0.3">
      <c r="A243" t="s">
        <v>594</v>
      </c>
      <c r="B243">
        <v>2025</v>
      </c>
      <c r="C243" t="s">
        <v>595</v>
      </c>
      <c r="D243" t="s">
        <v>21</v>
      </c>
      <c r="E243" t="s">
        <v>596</v>
      </c>
      <c r="F243" t="s">
        <v>23</v>
      </c>
      <c r="G243" t="s">
        <v>24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f t="shared" si="9"/>
        <v>2</v>
      </c>
      <c r="U243">
        <f t="shared" si="10"/>
        <v>0</v>
      </c>
      <c r="V243" t="b">
        <f t="shared" si="11"/>
        <v>0</v>
      </c>
    </row>
    <row r="244" spans="1:22" x14ac:dyDescent="0.3">
      <c r="A244" t="s">
        <v>597</v>
      </c>
      <c r="B244">
        <v>2025</v>
      </c>
      <c r="C244" t="s">
        <v>598</v>
      </c>
      <c r="D244" t="s">
        <v>323</v>
      </c>
      <c r="E244" t="s">
        <v>599</v>
      </c>
      <c r="F244" t="s">
        <v>23</v>
      </c>
      <c r="G244" t="s">
        <v>24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f t="shared" si="9"/>
        <v>3</v>
      </c>
      <c r="U244">
        <f t="shared" si="10"/>
        <v>1</v>
      </c>
      <c r="V244" t="b">
        <f t="shared" si="11"/>
        <v>0</v>
      </c>
    </row>
    <row r="245" spans="1:22" x14ac:dyDescent="0.3">
      <c r="A245" t="s">
        <v>600</v>
      </c>
      <c r="B245">
        <v>2025</v>
      </c>
      <c r="C245" t="s">
        <v>133</v>
      </c>
      <c r="D245" t="s">
        <v>130</v>
      </c>
      <c r="E245" t="s">
        <v>601</v>
      </c>
      <c r="F245" t="s">
        <v>39</v>
      </c>
      <c r="G245" t="s">
        <v>24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f t="shared" si="9"/>
        <v>3</v>
      </c>
      <c r="U245">
        <f t="shared" si="10"/>
        <v>0</v>
      </c>
      <c r="V245" t="b">
        <f t="shared" si="11"/>
        <v>0</v>
      </c>
    </row>
    <row r="246" spans="1:22" x14ac:dyDescent="0.3">
      <c r="A246" t="s">
        <v>602</v>
      </c>
      <c r="B246">
        <v>2025</v>
      </c>
      <c r="C246" t="s">
        <v>603</v>
      </c>
      <c r="D246" t="s">
        <v>21</v>
      </c>
      <c r="E246" t="s">
        <v>604</v>
      </c>
      <c r="F246" t="s">
        <v>23</v>
      </c>
      <c r="G246" t="s">
        <v>24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f t="shared" si="9"/>
        <v>3</v>
      </c>
      <c r="U246">
        <f t="shared" si="10"/>
        <v>0</v>
      </c>
      <c r="V246" t="b">
        <f t="shared" si="11"/>
        <v>0</v>
      </c>
    </row>
    <row r="247" spans="1:22" x14ac:dyDescent="0.3">
      <c r="A247" t="s">
        <v>605</v>
      </c>
      <c r="B247">
        <v>2025</v>
      </c>
      <c r="C247" t="s">
        <v>133</v>
      </c>
      <c r="D247" t="s">
        <v>29</v>
      </c>
      <c r="E247" t="s">
        <v>606</v>
      </c>
      <c r="F247" t="s">
        <v>39</v>
      </c>
      <c r="G247" t="s">
        <v>24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f t="shared" si="9"/>
        <v>3</v>
      </c>
      <c r="U247">
        <f t="shared" si="10"/>
        <v>0</v>
      </c>
      <c r="V247" t="b">
        <f t="shared" si="11"/>
        <v>0</v>
      </c>
    </row>
    <row r="248" spans="1:22" x14ac:dyDescent="0.3">
      <c r="A248" t="s">
        <v>607</v>
      </c>
      <c r="B248">
        <v>2025</v>
      </c>
      <c r="C248" t="s">
        <v>133</v>
      </c>
      <c r="D248" t="s">
        <v>29</v>
      </c>
      <c r="E248" t="s">
        <v>608</v>
      </c>
      <c r="F248" t="s">
        <v>39</v>
      </c>
      <c r="G248" t="s">
        <v>24</v>
      </c>
      <c r="H248">
        <v>1</v>
      </c>
      <c r="I248">
        <v>0</v>
      </c>
      <c r="J248">
        <v>1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f t="shared" si="9"/>
        <v>4</v>
      </c>
      <c r="U248">
        <f t="shared" si="10"/>
        <v>0</v>
      </c>
      <c r="V248" t="b">
        <f t="shared" si="11"/>
        <v>0</v>
      </c>
    </row>
    <row r="249" spans="1:22" x14ac:dyDescent="0.3">
      <c r="A249" t="s">
        <v>609</v>
      </c>
      <c r="B249">
        <v>2025</v>
      </c>
      <c r="C249" t="s">
        <v>610</v>
      </c>
      <c r="D249" t="s">
        <v>323</v>
      </c>
      <c r="E249" t="s">
        <v>611</v>
      </c>
      <c r="F249" t="s">
        <v>35</v>
      </c>
      <c r="G249" t="s">
        <v>24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f t="shared" si="9"/>
        <v>3</v>
      </c>
      <c r="U249">
        <f t="shared" si="10"/>
        <v>1</v>
      </c>
      <c r="V249" t="b">
        <f t="shared" si="11"/>
        <v>0</v>
      </c>
    </row>
    <row r="250" spans="1:22" x14ac:dyDescent="0.3">
      <c r="A250" t="s">
        <v>612</v>
      </c>
      <c r="B250">
        <v>2025</v>
      </c>
      <c r="C250" t="s">
        <v>613</v>
      </c>
      <c r="D250" t="s">
        <v>29</v>
      </c>
      <c r="E250" t="s">
        <v>614</v>
      </c>
      <c r="F250" t="s">
        <v>31</v>
      </c>
      <c r="G250" t="s">
        <v>24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f t="shared" si="9"/>
        <v>4</v>
      </c>
      <c r="U250">
        <f t="shared" si="10"/>
        <v>1</v>
      </c>
      <c r="V250" t="b">
        <f t="shared" si="11"/>
        <v>0</v>
      </c>
    </row>
    <row r="251" spans="1:22" x14ac:dyDescent="0.3">
      <c r="A251" t="s">
        <v>615</v>
      </c>
      <c r="B251">
        <v>2025</v>
      </c>
      <c r="C251" t="s">
        <v>616</v>
      </c>
      <c r="D251" t="s">
        <v>21</v>
      </c>
      <c r="E251" t="s">
        <v>617</v>
      </c>
      <c r="F251" t="s">
        <v>23</v>
      </c>
      <c r="G251" t="s">
        <v>24</v>
      </c>
      <c r="H251">
        <v>1</v>
      </c>
      <c r="I251">
        <v>0</v>
      </c>
      <c r="J251">
        <v>1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f t="shared" si="9"/>
        <v>4</v>
      </c>
      <c r="U251">
        <f t="shared" si="10"/>
        <v>0</v>
      </c>
      <c r="V251" t="b">
        <f t="shared" si="11"/>
        <v>0</v>
      </c>
    </row>
    <row r="252" spans="1:22" x14ac:dyDescent="0.3">
      <c r="A252" t="s">
        <v>618</v>
      </c>
      <c r="B252">
        <v>2025</v>
      </c>
      <c r="C252" t="s">
        <v>133</v>
      </c>
      <c r="D252" t="s">
        <v>29</v>
      </c>
      <c r="E252" t="s">
        <v>619</v>
      </c>
      <c r="F252" t="s">
        <v>39</v>
      </c>
      <c r="G252" t="s">
        <v>24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f t="shared" si="9"/>
        <v>3</v>
      </c>
      <c r="U252">
        <f t="shared" si="10"/>
        <v>0</v>
      </c>
      <c r="V252" t="b">
        <f t="shared" si="11"/>
        <v>0</v>
      </c>
    </row>
    <row r="253" spans="1:22" x14ac:dyDescent="0.3">
      <c r="A253" t="s">
        <v>620</v>
      </c>
      <c r="B253">
        <v>2025</v>
      </c>
      <c r="C253" t="s">
        <v>555</v>
      </c>
      <c r="D253" t="s">
        <v>21</v>
      </c>
      <c r="E253" t="s">
        <v>621</v>
      </c>
      <c r="F253" t="s">
        <v>23</v>
      </c>
      <c r="G253" t="s">
        <v>24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f t="shared" si="9"/>
        <v>3</v>
      </c>
      <c r="U253">
        <f t="shared" si="10"/>
        <v>0</v>
      </c>
      <c r="V253" t="b">
        <f t="shared" si="11"/>
        <v>0</v>
      </c>
    </row>
    <row r="254" spans="1:22" x14ac:dyDescent="0.3">
      <c r="A254" t="s">
        <v>622</v>
      </c>
      <c r="B254">
        <v>2025</v>
      </c>
      <c r="C254" t="s">
        <v>623</v>
      </c>
      <c r="D254" t="s">
        <v>172</v>
      </c>
      <c r="E254" t="s">
        <v>624</v>
      </c>
      <c r="F254" t="s">
        <v>39</v>
      </c>
      <c r="G254" t="s">
        <v>24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f t="shared" si="9"/>
        <v>2</v>
      </c>
      <c r="U254">
        <f t="shared" si="10"/>
        <v>0</v>
      </c>
      <c r="V254" t="b">
        <f t="shared" si="11"/>
        <v>0</v>
      </c>
    </row>
    <row r="255" spans="1:22" x14ac:dyDescent="0.3">
      <c r="A255" t="s">
        <v>625</v>
      </c>
      <c r="B255">
        <v>2025</v>
      </c>
      <c r="C255" t="s">
        <v>555</v>
      </c>
      <c r="D255" t="s">
        <v>21</v>
      </c>
      <c r="E255" t="s">
        <v>626</v>
      </c>
      <c r="F255" t="s">
        <v>23</v>
      </c>
      <c r="G255" t="s">
        <v>24</v>
      </c>
      <c r="H255">
        <v>1</v>
      </c>
      <c r="I255">
        <v>0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f t="shared" si="9"/>
        <v>4</v>
      </c>
      <c r="U255">
        <f t="shared" si="10"/>
        <v>0</v>
      </c>
      <c r="V255" t="b">
        <f t="shared" si="11"/>
        <v>0</v>
      </c>
    </row>
    <row r="256" spans="1:22" x14ac:dyDescent="0.3">
      <c r="A256" t="s">
        <v>627</v>
      </c>
      <c r="B256">
        <v>2025</v>
      </c>
      <c r="C256" t="s">
        <v>129</v>
      </c>
      <c r="D256" t="s">
        <v>130</v>
      </c>
      <c r="E256" t="s">
        <v>628</v>
      </c>
      <c r="F256" t="s">
        <v>39</v>
      </c>
      <c r="G256" t="s">
        <v>24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f t="shared" si="9"/>
        <v>5</v>
      </c>
      <c r="U256">
        <f t="shared" si="10"/>
        <v>0</v>
      </c>
      <c r="V256" t="b">
        <f t="shared" si="11"/>
        <v>1</v>
      </c>
    </row>
    <row r="257" spans="1:22" x14ac:dyDescent="0.3">
      <c r="A257" t="s">
        <v>629</v>
      </c>
      <c r="B257">
        <v>2025</v>
      </c>
      <c r="C257" t="s">
        <v>630</v>
      </c>
      <c r="D257" t="s">
        <v>29</v>
      </c>
      <c r="E257" t="s">
        <v>631</v>
      </c>
      <c r="F257" t="s">
        <v>39</v>
      </c>
      <c r="G257" t="s">
        <v>24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f t="shared" si="9"/>
        <v>3</v>
      </c>
      <c r="U257">
        <f t="shared" si="10"/>
        <v>0</v>
      </c>
      <c r="V257" t="b">
        <f t="shared" si="11"/>
        <v>0</v>
      </c>
    </row>
    <row r="258" spans="1:22" x14ac:dyDescent="0.3">
      <c r="A258" t="s">
        <v>632</v>
      </c>
      <c r="B258">
        <v>2025</v>
      </c>
      <c r="C258" t="s">
        <v>129</v>
      </c>
      <c r="D258" t="s">
        <v>130</v>
      </c>
      <c r="E258" t="s">
        <v>633</v>
      </c>
      <c r="F258" t="s">
        <v>39</v>
      </c>
      <c r="G258" t="s">
        <v>24</v>
      </c>
      <c r="H258">
        <v>0</v>
      </c>
      <c r="I258">
        <v>1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f t="shared" si="9"/>
        <v>3</v>
      </c>
      <c r="U258">
        <f t="shared" si="10"/>
        <v>1</v>
      </c>
      <c r="V258" t="b">
        <f t="shared" si="11"/>
        <v>0</v>
      </c>
    </row>
    <row r="259" spans="1:22" x14ac:dyDescent="0.3">
      <c r="A259" t="s">
        <v>634</v>
      </c>
      <c r="B259">
        <v>2025</v>
      </c>
      <c r="C259" t="s">
        <v>555</v>
      </c>
      <c r="D259" t="s">
        <v>21</v>
      </c>
      <c r="E259" t="s">
        <v>635</v>
      </c>
      <c r="F259" t="s">
        <v>23</v>
      </c>
      <c r="G259" t="s">
        <v>24</v>
      </c>
      <c r="H259">
        <v>1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f t="shared" ref="T259:T322" si="12">SUM(H259:M259)</f>
        <v>5</v>
      </c>
      <c r="U259">
        <f t="shared" ref="U259:U322" si="13">SUM(N259:R259)</f>
        <v>1</v>
      </c>
      <c r="V259" t="b">
        <f t="shared" ref="V259:V322" si="14">T259&gt;4</f>
        <v>1</v>
      </c>
    </row>
    <row r="260" spans="1:22" x14ac:dyDescent="0.3">
      <c r="A260" t="s">
        <v>636</v>
      </c>
      <c r="B260">
        <v>2025</v>
      </c>
      <c r="C260" t="s">
        <v>637</v>
      </c>
      <c r="D260" t="s">
        <v>21</v>
      </c>
      <c r="E260" t="s">
        <v>638</v>
      </c>
      <c r="F260" t="s">
        <v>23</v>
      </c>
      <c r="G260" t="s">
        <v>24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f t="shared" si="12"/>
        <v>3</v>
      </c>
      <c r="U260">
        <f t="shared" si="13"/>
        <v>0</v>
      </c>
      <c r="V260" t="b">
        <f t="shared" si="14"/>
        <v>0</v>
      </c>
    </row>
    <row r="261" spans="1:22" x14ac:dyDescent="0.3">
      <c r="A261" t="s">
        <v>639</v>
      </c>
      <c r="B261">
        <v>2025</v>
      </c>
      <c r="C261" t="s">
        <v>133</v>
      </c>
      <c r="D261" t="s">
        <v>29</v>
      </c>
      <c r="E261" t="s">
        <v>640</v>
      </c>
      <c r="F261" t="s">
        <v>39</v>
      </c>
      <c r="G261" t="s">
        <v>24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f t="shared" si="12"/>
        <v>3</v>
      </c>
      <c r="U261">
        <f t="shared" si="13"/>
        <v>0</v>
      </c>
      <c r="V261" t="b">
        <f t="shared" si="14"/>
        <v>0</v>
      </c>
    </row>
    <row r="262" spans="1:22" x14ac:dyDescent="0.3">
      <c r="A262" t="s">
        <v>641</v>
      </c>
      <c r="B262">
        <v>2025</v>
      </c>
      <c r="C262" t="s">
        <v>133</v>
      </c>
      <c r="D262" t="s">
        <v>29</v>
      </c>
      <c r="E262" t="s">
        <v>642</v>
      </c>
      <c r="F262" t="s">
        <v>39</v>
      </c>
      <c r="G262" t="s">
        <v>24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f t="shared" si="12"/>
        <v>3</v>
      </c>
      <c r="U262">
        <f t="shared" si="13"/>
        <v>0</v>
      </c>
      <c r="V262" t="b">
        <f t="shared" si="14"/>
        <v>0</v>
      </c>
    </row>
    <row r="263" spans="1:22" x14ac:dyDescent="0.3">
      <c r="A263" t="s">
        <v>643</v>
      </c>
      <c r="B263">
        <v>2025</v>
      </c>
      <c r="C263" t="s">
        <v>133</v>
      </c>
      <c r="D263" t="s">
        <v>29</v>
      </c>
      <c r="E263" t="s">
        <v>644</v>
      </c>
      <c r="F263" t="s">
        <v>39</v>
      </c>
      <c r="G263" t="s">
        <v>24</v>
      </c>
      <c r="H263">
        <v>1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f t="shared" si="12"/>
        <v>5</v>
      </c>
      <c r="U263">
        <f t="shared" si="13"/>
        <v>0</v>
      </c>
      <c r="V263" t="b">
        <f t="shared" si="14"/>
        <v>1</v>
      </c>
    </row>
    <row r="264" spans="1:22" x14ac:dyDescent="0.3">
      <c r="A264" t="s">
        <v>645</v>
      </c>
      <c r="B264">
        <v>2025</v>
      </c>
      <c r="C264" t="s">
        <v>133</v>
      </c>
      <c r="D264" t="s">
        <v>29</v>
      </c>
      <c r="E264" t="s">
        <v>646</v>
      </c>
      <c r="F264" t="s">
        <v>39</v>
      </c>
      <c r="G264" t="s">
        <v>24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f t="shared" si="12"/>
        <v>3</v>
      </c>
      <c r="U264">
        <f t="shared" si="13"/>
        <v>0</v>
      </c>
      <c r="V264" t="b">
        <f t="shared" si="14"/>
        <v>0</v>
      </c>
    </row>
    <row r="265" spans="1:22" x14ac:dyDescent="0.3">
      <c r="A265" t="s">
        <v>647</v>
      </c>
      <c r="B265">
        <v>2025</v>
      </c>
      <c r="C265" t="s">
        <v>133</v>
      </c>
      <c r="D265" t="s">
        <v>29</v>
      </c>
      <c r="E265" t="s">
        <v>648</v>
      </c>
      <c r="F265" t="s">
        <v>39</v>
      </c>
      <c r="G265" t="s">
        <v>24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f t="shared" si="12"/>
        <v>3</v>
      </c>
      <c r="U265">
        <f t="shared" si="13"/>
        <v>0</v>
      </c>
      <c r="V265" t="b">
        <f t="shared" si="14"/>
        <v>0</v>
      </c>
    </row>
    <row r="266" spans="1:22" x14ac:dyDescent="0.3">
      <c r="A266" t="s">
        <v>649</v>
      </c>
      <c r="B266">
        <v>2025</v>
      </c>
      <c r="C266" t="s">
        <v>133</v>
      </c>
      <c r="D266" t="s">
        <v>29</v>
      </c>
      <c r="E266" t="s">
        <v>650</v>
      </c>
      <c r="F266" t="s">
        <v>39</v>
      </c>
      <c r="G266" t="s">
        <v>24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f t="shared" si="12"/>
        <v>3</v>
      </c>
      <c r="U266">
        <f t="shared" si="13"/>
        <v>0</v>
      </c>
      <c r="V266" t="b">
        <f t="shared" si="14"/>
        <v>0</v>
      </c>
    </row>
    <row r="267" spans="1:22" x14ac:dyDescent="0.3">
      <c r="A267" t="s">
        <v>651</v>
      </c>
      <c r="B267">
        <v>2025</v>
      </c>
      <c r="C267" t="s">
        <v>133</v>
      </c>
      <c r="D267" t="s">
        <v>29</v>
      </c>
      <c r="E267" t="s">
        <v>652</v>
      </c>
      <c r="F267" t="s">
        <v>39</v>
      </c>
      <c r="G267" t="s">
        <v>24</v>
      </c>
      <c r="H267">
        <v>1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f t="shared" si="12"/>
        <v>5</v>
      </c>
      <c r="U267">
        <f t="shared" si="13"/>
        <v>0</v>
      </c>
      <c r="V267" t="b">
        <f t="shared" si="14"/>
        <v>1</v>
      </c>
    </row>
    <row r="268" spans="1:22" x14ac:dyDescent="0.3">
      <c r="A268" t="s">
        <v>653</v>
      </c>
      <c r="B268">
        <v>2025</v>
      </c>
      <c r="C268" t="s">
        <v>129</v>
      </c>
      <c r="D268" t="s">
        <v>29</v>
      </c>
      <c r="E268" t="s">
        <v>654</v>
      </c>
      <c r="F268" t="s">
        <v>39</v>
      </c>
      <c r="G268" t="s">
        <v>24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f t="shared" si="12"/>
        <v>3</v>
      </c>
      <c r="U268">
        <f t="shared" si="13"/>
        <v>0</v>
      </c>
      <c r="V268" t="b">
        <f t="shared" si="14"/>
        <v>0</v>
      </c>
    </row>
    <row r="269" spans="1:22" x14ac:dyDescent="0.3">
      <c r="A269" t="s">
        <v>655</v>
      </c>
      <c r="B269">
        <v>2025</v>
      </c>
      <c r="C269" t="s">
        <v>656</v>
      </c>
      <c r="D269" t="s">
        <v>323</v>
      </c>
      <c r="E269" t="s">
        <v>657</v>
      </c>
      <c r="F269" t="s">
        <v>23</v>
      </c>
      <c r="G269" t="s">
        <v>24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f t="shared" si="12"/>
        <v>2</v>
      </c>
      <c r="U269">
        <f t="shared" si="13"/>
        <v>0</v>
      </c>
      <c r="V269" t="b">
        <f t="shared" si="14"/>
        <v>0</v>
      </c>
    </row>
    <row r="270" spans="1:22" x14ac:dyDescent="0.3">
      <c r="A270" t="s">
        <v>658</v>
      </c>
      <c r="B270">
        <v>2025</v>
      </c>
      <c r="C270" t="s">
        <v>133</v>
      </c>
      <c r="D270" t="s">
        <v>29</v>
      </c>
      <c r="E270" t="s">
        <v>659</v>
      </c>
      <c r="F270" t="s">
        <v>39</v>
      </c>
      <c r="G270" t="s">
        <v>24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f t="shared" si="12"/>
        <v>3</v>
      </c>
      <c r="U270">
        <f t="shared" si="13"/>
        <v>0</v>
      </c>
      <c r="V270" t="b">
        <f t="shared" si="14"/>
        <v>0</v>
      </c>
    </row>
    <row r="271" spans="1:22" x14ac:dyDescent="0.3">
      <c r="A271" t="s">
        <v>660</v>
      </c>
      <c r="B271">
        <v>2025</v>
      </c>
      <c r="C271" t="s">
        <v>661</v>
      </c>
      <c r="D271" t="s">
        <v>21</v>
      </c>
      <c r="E271" t="s">
        <v>662</v>
      </c>
      <c r="F271" t="s">
        <v>23</v>
      </c>
      <c r="G271" t="s">
        <v>24</v>
      </c>
      <c r="H271">
        <v>0</v>
      </c>
      <c r="I271">
        <v>1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f t="shared" si="12"/>
        <v>3</v>
      </c>
      <c r="U271">
        <f t="shared" si="13"/>
        <v>1</v>
      </c>
      <c r="V271" t="b">
        <f t="shared" si="14"/>
        <v>0</v>
      </c>
    </row>
    <row r="272" spans="1:22" x14ac:dyDescent="0.3">
      <c r="A272" t="s">
        <v>663</v>
      </c>
      <c r="B272">
        <v>2025</v>
      </c>
      <c r="C272" t="s">
        <v>133</v>
      </c>
      <c r="D272" t="s">
        <v>29</v>
      </c>
      <c r="E272" t="s">
        <v>664</v>
      </c>
      <c r="F272" t="s">
        <v>39</v>
      </c>
      <c r="G272" t="s">
        <v>24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f t="shared" si="12"/>
        <v>3</v>
      </c>
      <c r="U272">
        <f t="shared" si="13"/>
        <v>0</v>
      </c>
      <c r="V272" t="b">
        <f t="shared" si="14"/>
        <v>0</v>
      </c>
    </row>
    <row r="273" spans="1:22" x14ac:dyDescent="0.3">
      <c r="A273" t="s">
        <v>665</v>
      </c>
      <c r="B273">
        <v>2025</v>
      </c>
      <c r="C273" t="s">
        <v>129</v>
      </c>
      <c r="D273" t="s">
        <v>29</v>
      </c>
      <c r="E273" t="s">
        <v>666</v>
      </c>
      <c r="F273" t="s">
        <v>39</v>
      </c>
      <c r="G273" t="s">
        <v>24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f t="shared" si="12"/>
        <v>3</v>
      </c>
      <c r="U273">
        <f t="shared" si="13"/>
        <v>0</v>
      </c>
      <c r="V273" t="b">
        <f t="shared" si="14"/>
        <v>0</v>
      </c>
    </row>
    <row r="274" spans="1:22" x14ac:dyDescent="0.3">
      <c r="A274" t="s">
        <v>667</v>
      </c>
      <c r="B274">
        <v>2025</v>
      </c>
      <c r="C274" t="s">
        <v>668</v>
      </c>
      <c r="D274" t="s">
        <v>130</v>
      </c>
      <c r="E274" t="s">
        <v>669</v>
      </c>
      <c r="F274" t="s">
        <v>39</v>
      </c>
      <c r="G274" t="s">
        <v>24</v>
      </c>
      <c r="H274">
        <v>1</v>
      </c>
      <c r="I274">
        <v>0</v>
      </c>
      <c r="J274">
        <v>1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f t="shared" si="12"/>
        <v>4</v>
      </c>
      <c r="U274">
        <f t="shared" si="13"/>
        <v>0</v>
      </c>
      <c r="V274" t="b">
        <f t="shared" si="14"/>
        <v>0</v>
      </c>
    </row>
    <row r="275" spans="1:22" x14ac:dyDescent="0.3">
      <c r="A275" t="s">
        <v>670</v>
      </c>
      <c r="B275">
        <v>2025</v>
      </c>
      <c r="C275" t="s">
        <v>671</v>
      </c>
      <c r="D275" t="s">
        <v>130</v>
      </c>
      <c r="E275" t="s">
        <v>672</v>
      </c>
      <c r="F275" t="s">
        <v>31</v>
      </c>
      <c r="G275" t="s">
        <v>24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f t="shared" si="12"/>
        <v>2</v>
      </c>
      <c r="U275">
        <f t="shared" si="13"/>
        <v>0</v>
      </c>
      <c r="V275" t="b">
        <f t="shared" si="14"/>
        <v>0</v>
      </c>
    </row>
    <row r="276" spans="1:22" x14ac:dyDescent="0.3">
      <c r="A276" t="s">
        <v>673</v>
      </c>
      <c r="B276">
        <v>2025</v>
      </c>
      <c r="C276" t="s">
        <v>674</v>
      </c>
      <c r="D276" t="s">
        <v>130</v>
      </c>
      <c r="E276" t="s">
        <v>675</v>
      </c>
      <c r="F276" t="s">
        <v>31</v>
      </c>
      <c r="G276" t="s">
        <v>24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f t="shared" si="12"/>
        <v>3</v>
      </c>
      <c r="U276">
        <f t="shared" si="13"/>
        <v>0</v>
      </c>
      <c r="V276" t="b">
        <f t="shared" si="14"/>
        <v>0</v>
      </c>
    </row>
    <row r="277" spans="1:22" x14ac:dyDescent="0.3">
      <c r="A277" t="s">
        <v>676</v>
      </c>
      <c r="B277">
        <v>2025</v>
      </c>
      <c r="C277" t="s">
        <v>671</v>
      </c>
      <c r="D277" t="s">
        <v>130</v>
      </c>
      <c r="E277" t="s">
        <v>677</v>
      </c>
      <c r="F277" t="s">
        <v>31</v>
      </c>
      <c r="G277" t="s">
        <v>24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f t="shared" si="12"/>
        <v>3</v>
      </c>
      <c r="U277">
        <f t="shared" si="13"/>
        <v>1</v>
      </c>
      <c r="V277" t="b">
        <f t="shared" si="14"/>
        <v>0</v>
      </c>
    </row>
    <row r="278" spans="1:22" x14ac:dyDescent="0.3">
      <c r="A278" t="s">
        <v>678</v>
      </c>
      <c r="B278">
        <v>2025</v>
      </c>
      <c r="C278" t="s">
        <v>418</v>
      </c>
      <c r="D278" t="s">
        <v>130</v>
      </c>
      <c r="E278" t="s">
        <v>679</v>
      </c>
      <c r="F278" t="s">
        <v>31</v>
      </c>
      <c r="G278" t="s">
        <v>24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f t="shared" si="12"/>
        <v>5</v>
      </c>
      <c r="U278">
        <f t="shared" si="13"/>
        <v>0</v>
      </c>
      <c r="V278" t="b">
        <f t="shared" si="14"/>
        <v>1</v>
      </c>
    </row>
    <row r="279" spans="1:22" x14ac:dyDescent="0.3">
      <c r="A279" t="s">
        <v>680</v>
      </c>
      <c r="B279">
        <v>2025</v>
      </c>
      <c r="C279" t="s">
        <v>681</v>
      </c>
      <c r="D279" t="s">
        <v>323</v>
      </c>
      <c r="E279" t="s">
        <v>682</v>
      </c>
      <c r="F279" t="s">
        <v>35</v>
      </c>
      <c r="G279" t="s">
        <v>24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f t="shared" si="12"/>
        <v>6</v>
      </c>
      <c r="U279">
        <f t="shared" si="13"/>
        <v>0</v>
      </c>
      <c r="V279" t="b">
        <f t="shared" si="14"/>
        <v>1</v>
      </c>
    </row>
    <row r="280" spans="1:22" x14ac:dyDescent="0.3">
      <c r="A280" t="s">
        <v>683</v>
      </c>
      <c r="B280">
        <v>2025</v>
      </c>
      <c r="C280" t="s">
        <v>684</v>
      </c>
      <c r="D280" t="s">
        <v>130</v>
      </c>
      <c r="E280" t="s">
        <v>685</v>
      </c>
      <c r="F280" t="s">
        <v>39</v>
      </c>
      <c r="G280" t="s">
        <v>24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f t="shared" si="12"/>
        <v>2</v>
      </c>
      <c r="U280">
        <f t="shared" si="13"/>
        <v>0</v>
      </c>
      <c r="V280" t="b">
        <f t="shared" si="14"/>
        <v>0</v>
      </c>
    </row>
    <row r="281" spans="1:22" x14ac:dyDescent="0.3">
      <c r="A281" t="s">
        <v>686</v>
      </c>
      <c r="B281">
        <v>2025</v>
      </c>
      <c r="C281" t="s">
        <v>687</v>
      </c>
      <c r="D281" t="s">
        <v>130</v>
      </c>
      <c r="E281" t="s">
        <v>688</v>
      </c>
      <c r="F281" t="s">
        <v>31</v>
      </c>
      <c r="G281" t="s">
        <v>24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f t="shared" si="12"/>
        <v>4</v>
      </c>
      <c r="U281">
        <f t="shared" si="13"/>
        <v>0</v>
      </c>
      <c r="V281" t="b">
        <f t="shared" si="14"/>
        <v>0</v>
      </c>
    </row>
    <row r="282" spans="1:22" x14ac:dyDescent="0.3">
      <c r="A282" t="s">
        <v>689</v>
      </c>
      <c r="B282">
        <v>2025</v>
      </c>
      <c r="C282" t="s">
        <v>690</v>
      </c>
      <c r="D282" t="s">
        <v>130</v>
      </c>
      <c r="E282" t="s">
        <v>691</v>
      </c>
      <c r="F282" t="s">
        <v>39</v>
      </c>
      <c r="G282" t="s">
        <v>24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f t="shared" si="12"/>
        <v>2</v>
      </c>
      <c r="U282">
        <f t="shared" si="13"/>
        <v>0</v>
      </c>
      <c r="V282" t="b">
        <f t="shared" si="14"/>
        <v>0</v>
      </c>
    </row>
    <row r="283" spans="1:22" x14ac:dyDescent="0.3">
      <c r="A283" t="s">
        <v>692</v>
      </c>
      <c r="B283">
        <v>2025</v>
      </c>
      <c r="C283" t="s">
        <v>693</v>
      </c>
      <c r="D283" t="s">
        <v>130</v>
      </c>
      <c r="E283" t="s">
        <v>694</v>
      </c>
      <c r="F283" t="s">
        <v>31</v>
      </c>
      <c r="G283" t="s">
        <v>24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f t="shared" si="12"/>
        <v>2</v>
      </c>
      <c r="U283">
        <f t="shared" si="13"/>
        <v>0</v>
      </c>
      <c r="V283" t="b">
        <f t="shared" si="14"/>
        <v>0</v>
      </c>
    </row>
    <row r="284" spans="1:22" x14ac:dyDescent="0.3">
      <c r="A284" t="s">
        <v>695</v>
      </c>
      <c r="B284">
        <v>2025</v>
      </c>
      <c r="C284" t="s">
        <v>696</v>
      </c>
      <c r="D284" t="s">
        <v>323</v>
      </c>
      <c r="E284" t="s">
        <v>697</v>
      </c>
      <c r="F284" t="s">
        <v>23</v>
      </c>
      <c r="G284" t="s">
        <v>24</v>
      </c>
      <c r="H284">
        <v>1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f t="shared" si="12"/>
        <v>5</v>
      </c>
      <c r="U284">
        <f t="shared" si="13"/>
        <v>1</v>
      </c>
      <c r="V284" t="b">
        <f t="shared" si="14"/>
        <v>1</v>
      </c>
    </row>
    <row r="285" spans="1:22" x14ac:dyDescent="0.3">
      <c r="A285" t="s">
        <v>698</v>
      </c>
      <c r="B285">
        <v>2025</v>
      </c>
      <c r="C285" t="s">
        <v>699</v>
      </c>
      <c r="D285" t="s">
        <v>130</v>
      </c>
      <c r="E285" t="s">
        <v>700</v>
      </c>
      <c r="F285" t="s">
        <v>39</v>
      </c>
      <c r="G285" t="s">
        <v>24</v>
      </c>
      <c r="H285">
        <v>0</v>
      </c>
      <c r="I285">
        <v>1</v>
      </c>
      <c r="J285">
        <v>0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f t="shared" si="12"/>
        <v>3</v>
      </c>
      <c r="U285">
        <f t="shared" si="13"/>
        <v>1</v>
      </c>
      <c r="V285" t="b">
        <f t="shared" si="14"/>
        <v>0</v>
      </c>
    </row>
    <row r="286" spans="1:22" x14ac:dyDescent="0.3">
      <c r="A286" t="s">
        <v>701</v>
      </c>
      <c r="B286">
        <v>2025</v>
      </c>
      <c r="C286" t="s">
        <v>209</v>
      </c>
      <c r="D286" t="s">
        <v>29</v>
      </c>
      <c r="E286" t="s">
        <v>702</v>
      </c>
      <c r="F286" t="s">
        <v>39</v>
      </c>
      <c r="G286" t="s">
        <v>24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f t="shared" si="12"/>
        <v>2</v>
      </c>
      <c r="U286">
        <f t="shared" si="13"/>
        <v>0</v>
      </c>
      <c r="V286" t="b">
        <f t="shared" si="14"/>
        <v>0</v>
      </c>
    </row>
    <row r="287" spans="1:22" x14ac:dyDescent="0.3">
      <c r="A287" t="s">
        <v>703</v>
      </c>
      <c r="B287">
        <v>2025</v>
      </c>
      <c r="C287" t="s">
        <v>704</v>
      </c>
      <c r="D287" t="s">
        <v>29</v>
      </c>
      <c r="E287" t="s">
        <v>705</v>
      </c>
      <c r="F287" t="s">
        <v>31</v>
      </c>
      <c r="G287" t="s">
        <v>24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f t="shared" si="12"/>
        <v>3</v>
      </c>
      <c r="U287">
        <f t="shared" si="13"/>
        <v>1</v>
      </c>
      <c r="V287" t="b">
        <f t="shared" si="14"/>
        <v>0</v>
      </c>
    </row>
    <row r="288" spans="1:22" x14ac:dyDescent="0.3">
      <c r="A288" t="s">
        <v>706</v>
      </c>
      <c r="B288">
        <v>2025</v>
      </c>
      <c r="C288" t="s">
        <v>707</v>
      </c>
      <c r="D288" t="s">
        <v>29</v>
      </c>
      <c r="E288" t="s">
        <v>708</v>
      </c>
      <c r="F288" t="s">
        <v>39</v>
      </c>
      <c r="G288" t="s">
        <v>24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f t="shared" si="12"/>
        <v>3</v>
      </c>
      <c r="U288">
        <f t="shared" si="13"/>
        <v>1</v>
      </c>
      <c r="V288" t="b">
        <f t="shared" si="14"/>
        <v>0</v>
      </c>
    </row>
    <row r="289" spans="1:22" x14ac:dyDescent="0.3">
      <c r="A289" t="s">
        <v>709</v>
      </c>
      <c r="B289">
        <v>2025</v>
      </c>
      <c r="C289" t="s">
        <v>710</v>
      </c>
      <c r="D289" t="s">
        <v>29</v>
      </c>
      <c r="E289" t="s">
        <v>711</v>
      </c>
      <c r="F289" t="s">
        <v>39</v>
      </c>
      <c r="G289" t="s">
        <v>24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f t="shared" si="12"/>
        <v>3</v>
      </c>
      <c r="U289">
        <f t="shared" si="13"/>
        <v>1</v>
      </c>
      <c r="V289" t="b">
        <f t="shared" si="14"/>
        <v>0</v>
      </c>
    </row>
    <row r="290" spans="1:22" x14ac:dyDescent="0.3">
      <c r="A290" t="s">
        <v>712</v>
      </c>
      <c r="B290">
        <v>2025</v>
      </c>
      <c r="C290" t="s">
        <v>713</v>
      </c>
      <c r="D290" t="s">
        <v>29</v>
      </c>
      <c r="E290" t="s">
        <v>714</v>
      </c>
      <c r="F290" t="s">
        <v>31</v>
      </c>
      <c r="G290" t="s">
        <v>24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f t="shared" si="12"/>
        <v>3</v>
      </c>
      <c r="U290">
        <f t="shared" si="13"/>
        <v>1</v>
      </c>
      <c r="V290" t="b">
        <f t="shared" si="14"/>
        <v>0</v>
      </c>
    </row>
    <row r="291" spans="1:22" x14ac:dyDescent="0.3">
      <c r="A291" t="s">
        <v>715</v>
      </c>
      <c r="B291">
        <v>2025</v>
      </c>
      <c r="C291" t="s">
        <v>716</v>
      </c>
      <c r="D291" t="s">
        <v>29</v>
      </c>
      <c r="E291" t="s">
        <v>717</v>
      </c>
      <c r="F291" t="s">
        <v>31</v>
      </c>
      <c r="G291" t="s">
        <v>24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f t="shared" si="12"/>
        <v>3</v>
      </c>
      <c r="U291">
        <f t="shared" si="13"/>
        <v>0</v>
      </c>
      <c r="V291" t="b">
        <f t="shared" si="14"/>
        <v>0</v>
      </c>
    </row>
    <row r="292" spans="1:22" x14ac:dyDescent="0.3">
      <c r="A292" t="s">
        <v>718</v>
      </c>
      <c r="B292">
        <v>2025</v>
      </c>
      <c r="C292" t="s">
        <v>719</v>
      </c>
      <c r="D292" t="s">
        <v>29</v>
      </c>
      <c r="E292" t="s">
        <v>720</v>
      </c>
      <c r="F292" t="s">
        <v>31</v>
      </c>
      <c r="G292" t="s">
        <v>24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f t="shared" si="12"/>
        <v>3</v>
      </c>
      <c r="U292">
        <f t="shared" si="13"/>
        <v>1</v>
      </c>
      <c r="V292" t="b">
        <f t="shared" si="14"/>
        <v>0</v>
      </c>
    </row>
    <row r="293" spans="1:22" x14ac:dyDescent="0.3">
      <c r="A293" t="s">
        <v>721</v>
      </c>
      <c r="B293">
        <v>2025</v>
      </c>
      <c r="C293" t="s">
        <v>722</v>
      </c>
      <c r="D293" t="s">
        <v>29</v>
      </c>
      <c r="E293" t="s">
        <v>723</v>
      </c>
      <c r="F293" t="s">
        <v>31</v>
      </c>
      <c r="G293" t="s">
        <v>24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f t="shared" si="12"/>
        <v>3</v>
      </c>
      <c r="U293">
        <f t="shared" si="13"/>
        <v>1</v>
      </c>
      <c r="V293" t="b">
        <f t="shared" si="14"/>
        <v>0</v>
      </c>
    </row>
    <row r="294" spans="1:22" x14ac:dyDescent="0.3">
      <c r="A294" t="s">
        <v>724</v>
      </c>
      <c r="B294">
        <v>2025</v>
      </c>
      <c r="C294" t="s">
        <v>259</v>
      </c>
      <c r="D294" t="s">
        <v>29</v>
      </c>
      <c r="E294" t="s">
        <v>725</v>
      </c>
      <c r="F294" t="s">
        <v>31</v>
      </c>
      <c r="G294" t="s">
        <v>24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f t="shared" si="12"/>
        <v>2</v>
      </c>
      <c r="U294">
        <f t="shared" si="13"/>
        <v>0</v>
      </c>
      <c r="V294" t="b">
        <f t="shared" si="14"/>
        <v>0</v>
      </c>
    </row>
    <row r="295" spans="1:22" x14ac:dyDescent="0.3">
      <c r="A295" t="s">
        <v>726</v>
      </c>
      <c r="B295">
        <v>2025</v>
      </c>
      <c r="C295" t="s">
        <v>727</v>
      </c>
      <c r="D295" t="s">
        <v>29</v>
      </c>
      <c r="E295" t="s">
        <v>728</v>
      </c>
      <c r="F295" t="s">
        <v>39</v>
      </c>
      <c r="G295" t="s">
        <v>24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f t="shared" si="12"/>
        <v>2</v>
      </c>
      <c r="U295">
        <f t="shared" si="13"/>
        <v>0</v>
      </c>
      <c r="V295" t="b">
        <f t="shared" si="14"/>
        <v>0</v>
      </c>
    </row>
    <row r="296" spans="1:22" x14ac:dyDescent="0.3">
      <c r="A296" t="s">
        <v>729</v>
      </c>
      <c r="B296">
        <v>2025</v>
      </c>
      <c r="C296" t="s">
        <v>730</v>
      </c>
      <c r="D296" t="s">
        <v>29</v>
      </c>
      <c r="E296" t="s">
        <v>731</v>
      </c>
      <c r="F296" t="s">
        <v>39</v>
      </c>
      <c r="G296" t="s">
        <v>24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f t="shared" si="12"/>
        <v>4</v>
      </c>
      <c r="U296">
        <f t="shared" si="13"/>
        <v>1</v>
      </c>
      <c r="V296" t="b">
        <f t="shared" si="14"/>
        <v>0</v>
      </c>
    </row>
    <row r="297" spans="1:22" x14ac:dyDescent="0.3">
      <c r="A297" t="s">
        <v>732</v>
      </c>
      <c r="B297">
        <v>2025</v>
      </c>
      <c r="C297" t="s">
        <v>733</v>
      </c>
      <c r="D297" t="s">
        <v>29</v>
      </c>
      <c r="E297" t="s">
        <v>734</v>
      </c>
      <c r="F297" t="s">
        <v>39</v>
      </c>
      <c r="G297" t="s">
        <v>24</v>
      </c>
      <c r="H297">
        <v>0</v>
      </c>
      <c r="I297">
        <v>1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1</v>
      </c>
      <c r="S297">
        <v>0</v>
      </c>
      <c r="T297">
        <f t="shared" si="12"/>
        <v>3</v>
      </c>
      <c r="U297">
        <f t="shared" si="13"/>
        <v>2</v>
      </c>
      <c r="V297" t="b">
        <f t="shared" si="14"/>
        <v>0</v>
      </c>
    </row>
    <row r="298" spans="1:22" x14ac:dyDescent="0.3">
      <c r="A298" t="s">
        <v>735</v>
      </c>
      <c r="B298">
        <v>2025</v>
      </c>
      <c r="C298" t="s">
        <v>184</v>
      </c>
      <c r="D298" t="s">
        <v>29</v>
      </c>
      <c r="E298" t="s">
        <v>736</v>
      </c>
      <c r="F298" t="s">
        <v>31</v>
      </c>
      <c r="G298" t="s">
        <v>24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f t="shared" si="12"/>
        <v>2</v>
      </c>
      <c r="U298">
        <f t="shared" si="13"/>
        <v>0</v>
      </c>
      <c r="V298" t="b">
        <f t="shared" si="14"/>
        <v>0</v>
      </c>
    </row>
    <row r="299" spans="1:22" x14ac:dyDescent="0.3">
      <c r="A299" t="s">
        <v>737</v>
      </c>
      <c r="B299">
        <v>2025</v>
      </c>
      <c r="C299" t="s">
        <v>738</v>
      </c>
      <c r="D299" t="s">
        <v>29</v>
      </c>
      <c r="E299" t="s">
        <v>739</v>
      </c>
      <c r="F299" t="s">
        <v>39</v>
      </c>
      <c r="G299" t="s">
        <v>24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f t="shared" si="12"/>
        <v>3</v>
      </c>
      <c r="U299">
        <f t="shared" si="13"/>
        <v>0</v>
      </c>
      <c r="V299" t="b">
        <f t="shared" si="14"/>
        <v>0</v>
      </c>
    </row>
    <row r="300" spans="1:22" x14ac:dyDescent="0.3">
      <c r="A300" t="s">
        <v>740</v>
      </c>
      <c r="B300">
        <v>2025</v>
      </c>
      <c r="C300" t="s">
        <v>741</v>
      </c>
      <c r="D300" t="s">
        <v>29</v>
      </c>
      <c r="E300" t="s">
        <v>742</v>
      </c>
      <c r="F300" t="s">
        <v>39</v>
      </c>
      <c r="G300" t="s">
        <v>24</v>
      </c>
      <c r="H300">
        <v>0</v>
      </c>
      <c r="I300">
        <v>1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f t="shared" si="12"/>
        <v>3</v>
      </c>
      <c r="U300">
        <f t="shared" si="13"/>
        <v>1</v>
      </c>
      <c r="V300" t="b">
        <f t="shared" si="14"/>
        <v>0</v>
      </c>
    </row>
    <row r="301" spans="1:22" x14ac:dyDescent="0.3">
      <c r="A301" t="s">
        <v>743</v>
      </c>
      <c r="B301">
        <v>2025</v>
      </c>
      <c r="C301" t="s">
        <v>744</v>
      </c>
      <c r="D301" t="s">
        <v>29</v>
      </c>
      <c r="E301" t="s">
        <v>745</v>
      </c>
      <c r="F301" t="s">
        <v>39</v>
      </c>
      <c r="G301" t="s">
        <v>24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f t="shared" si="12"/>
        <v>3</v>
      </c>
      <c r="U301">
        <f t="shared" si="13"/>
        <v>1</v>
      </c>
      <c r="V301" t="b">
        <f t="shared" si="14"/>
        <v>0</v>
      </c>
    </row>
    <row r="302" spans="1:22" x14ac:dyDescent="0.3">
      <c r="A302" t="s">
        <v>746</v>
      </c>
      <c r="B302">
        <v>2025</v>
      </c>
      <c r="C302" t="s">
        <v>747</v>
      </c>
      <c r="D302" t="s">
        <v>29</v>
      </c>
      <c r="E302" t="s">
        <v>748</v>
      </c>
      <c r="F302" t="s">
        <v>31</v>
      </c>
      <c r="G302" t="s">
        <v>24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f t="shared" si="12"/>
        <v>2</v>
      </c>
      <c r="U302">
        <f t="shared" si="13"/>
        <v>0</v>
      </c>
      <c r="V302" t="b">
        <f t="shared" si="14"/>
        <v>0</v>
      </c>
    </row>
    <row r="303" spans="1:22" x14ac:dyDescent="0.3">
      <c r="A303" t="s">
        <v>749</v>
      </c>
      <c r="B303">
        <v>2025</v>
      </c>
      <c r="C303" t="s">
        <v>750</v>
      </c>
      <c r="D303" t="s">
        <v>29</v>
      </c>
      <c r="E303" t="s">
        <v>751</v>
      </c>
      <c r="F303" t="s">
        <v>39</v>
      </c>
      <c r="G303" t="s">
        <v>24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f t="shared" si="12"/>
        <v>2</v>
      </c>
      <c r="U303">
        <f t="shared" si="13"/>
        <v>0</v>
      </c>
      <c r="V303" t="b">
        <f t="shared" si="14"/>
        <v>0</v>
      </c>
    </row>
    <row r="304" spans="1:22" x14ac:dyDescent="0.3">
      <c r="A304" t="s">
        <v>752</v>
      </c>
      <c r="B304">
        <v>2025</v>
      </c>
      <c r="C304" t="s">
        <v>753</v>
      </c>
      <c r="D304" t="s">
        <v>29</v>
      </c>
      <c r="E304" t="s">
        <v>754</v>
      </c>
      <c r="F304" t="s">
        <v>31</v>
      </c>
      <c r="G304" t="s">
        <v>24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f t="shared" si="12"/>
        <v>5</v>
      </c>
      <c r="U304">
        <f t="shared" si="13"/>
        <v>0</v>
      </c>
      <c r="V304" t="b">
        <f t="shared" si="14"/>
        <v>1</v>
      </c>
    </row>
    <row r="305" spans="1:22" x14ac:dyDescent="0.3">
      <c r="A305" t="s">
        <v>755</v>
      </c>
      <c r="B305">
        <v>2025</v>
      </c>
      <c r="C305" t="s">
        <v>756</v>
      </c>
      <c r="D305" t="s">
        <v>29</v>
      </c>
      <c r="E305" t="s">
        <v>757</v>
      </c>
      <c r="F305" t="s">
        <v>31</v>
      </c>
      <c r="G305" t="s">
        <v>24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f t="shared" si="12"/>
        <v>2</v>
      </c>
      <c r="U305">
        <f t="shared" si="13"/>
        <v>0</v>
      </c>
      <c r="V305" t="b">
        <f t="shared" si="14"/>
        <v>0</v>
      </c>
    </row>
    <row r="306" spans="1:22" x14ac:dyDescent="0.3">
      <c r="A306" t="s">
        <v>758</v>
      </c>
      <c r="B306">
        <v>2025</v>
      </c>
      <c r="C306" t="s">
        <v>184</v>
      </c>
      <c r="D306" t="s">
        <v>29</v>
      </c>
      <c r="E306" t="s">
        <v>759</v>
      </c>
      <c r="F306" t="s">
        <v>31</v>
      </c>
      <c r="G306" t="s">
        <v>24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f t="shared" si="12"/>
        <v>3</v>
      </c>
      <c r="U306">
        <f t="shared" si="13"/>
        <v>0</v>
      </c>
      <c r="V306" t="b">
        <f t="shared" si="14"/>
        <v>0</v>
      </c>
    </row>
    <row r="307" spans="1:22" x14ac:dyDescent="0.3">
      <c r="A307" t="s">
        <v>760</v>
      </c>
      <c r="B307">
        <v>2025</v>
      </c>
      <c r="C307" t="s">
        <v>761</v>
      </c>
      <c r="D307" t="s">
        <v>29</v>
      </c>
      <c r="E307" t="s">
        <v>762</v>
      </c>
      <c r="F307" t="s">
        <v>31</v>
      </c>
      <c r="G307" t="s">
        <v>24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f t="shared" si="12"/>
        <v>2</v>
      </c>
      <c r="U307">
        <f t="shared" si="13"/>
        <v>0</v>
      </c>
      <c r="V307" t="b">
        <f t="shared" si="14"/>
        <v>0</v>
      </c>
    </row>
    <row r="308" spans="1:22" x14ac:dyDescent="0.3">
      <c r="A308" t="s">
        <v>763</v>
      </c>
      <c r="B308">
        <v>2025</v>
      </c>
      <c r="C308" t="s">
        <v>753</v>
      </c>
      <c r="D308" t="s">
        <v>29</v>
      </c>
      <c r="E308" t="s">
        <v>764</v>
      </c>
      <c r="F308" t="s">
        <v>31</v>
      </c>
      <c r="G308" t="s">
        <v>24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f t="shared" si="12"/>
        <v>3</v>
      </c>
      <c r="U308">
        <f t="shared" si="13"/>
        <v>1</v>
      </c>
      <c r="V308" t="b">
        <f t="shared" si="14"/>
        <v>0</v>
      </c>
    </row>
    <row r="309" spans="1:22" x14ac:dyDescent="0.3">
      <c r="A309" t="s">
        <v>765</v>
      </c>
      <c r="B309">
        <v>2025</v>
      </c>
      <c r="C309" t="s">
        <v>766</v>
      </c>
      <c r="D309" t="s">
        <v>29</v>
      </c>
      <c r="E309" t="s">
        <v>767</v>
      </c>
      <c r="F309" t="s">
        <v>31</v>
      </c>
      <c r="G309" t="s">
        <v>24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f t="shared" si="12"/>
        <v>3</v>
      </c>
      <c r="U309">
        <f t="shared" si="13"/>
        <v>1</v>
      </c>
      <c r="V309" t="b">
        <f t="shared" si="14"/>
        <v>0</v>
      </c>
    </row>
    <row r="310" spans="1:22" x14ac:dyDescent="0.3">
      <c r="A310" t="s">
        <v>768</v>
      </c>
      <c r="B310">
        <v>2025</v>
      </c>
      <c r="C310" t="s">
        <v>738</v>
      </c>
      <c r="D310" t="s">
        <v>29</v>
      </c>
      <c r="E310" t="s">
        <v>769</v>
      </c>
      <c r="F310" t="s">
        <v>39</v>
      </c>
      <c r="G310" t="s">
        <v>24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f t="shared" si="12"/>
        <v>2</v>
      </c>
      <c r="U310">
        <f t="shared" si="13"/>
        <v>0</v>
      </c>
      <c r="V310" t="b">
        <f t="shared" si="14"/>
        <v>0</v>
      </c>
    </row>
    <row r="311" spans="1:22" x14ac:dyDescent="0.3">
      <c r="A311" t="s">
        <v>770</v>
      </c>
      <c r="B311">
        <v>2025</v>
      </c>
      <c r="C311" t="s">
        <v>771</v>
      </c>
      <c r="D311" t="s">
        <v>29</v>
      </c>
      <c r="E311" t="s">
        <v>772</v>
      </c>
      <c r="F311" t="s">
        <v>39</v>
      </c>
      <c r="G311" t="s">
        <v>24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f t="shared" si="12"/>
        <v>3</v>
      </c>
      <c r="U311">
        <f t="shared" si="13"/>
        <v>1</v>
      </c>
      <c r="V311" t="b">
        <f t="shared" si="14"/>
        <v>0</v>
      </c>
    </row>
    <row r="312" spans="1:22" x14ac:dyDescent="0.3">
      <c r="A312" t="s">
        <v>773</v>
      </c>
      <c r="B312">
        <v>2025</v>
      </c>
      <c r="C312" t="s">
        <v>184</v>
      </c>
      <c r="D312" t="s">
        <v>29</v>
      </c>
      <c r="E312" t="s">
        <v>774</v>
      </c>
      <c r="F312" t="s">
        <v>31</v>
      </c>
      <c r="G312" t="s">
        <v>24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f t="shared" si="12"/>
        <v>2</v>
      </c>
      <c r="U312">
        <f t="shared" si="13"/>
        <v>0</v>
      </c>
      <c r="V312" t="b">
        <f t="shared" si="14"/>
        <v>0</v>
      </c>
    </row>
    <row r="313" spans="1:22" x14ac:dyDescent="0.3">
      <c r="A313" t="s">
        <v>775</v>
      </c>
      <c r="B313">
        <v>2025</v>
      </c>
      <c r="C313" t="s">
        <v>776</v>
      </c>
      <c r="D313" t="s">
        <v>29</v>
      </c>
      <c r="E313" t="s">
        <v>777</v>
      </c>
      <c r="F313" t="s">
        <v>31</v>
      </c>
      <c r="G313" t="s">
        <v>24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f t="shared" si="12"/>
        <v>2</v>
      </c>
      <c r="U313">
        <f t="shared" si="13"/>
        <v>0</v>
      </c>
      <c r="V313" t="b">
        <f t="shared" si="14"/>
        <v>0</v>
      </c>
    </row>
    <row r="314" spans="1:22" x14ac:dyDescent="0.3">
      <c r="A314" t="s">
        <v>778</v>
      </c>
      <c r="B314">
        <v>2025</v>
      </c>
      <c r="C314" t="s">
        <v>779</v>
      </c>
      <c r="D314" t="s">
        <v>29</v>
      </c>
      <c r="E314" t="s">
        <v>780</v>
      </c>
      <c r="F314" t="s">
        <v>39</v>
      </c>
      <c r="G314" t="s">
        <v>24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f t="shared" si="12"/>
        <v>2</v>
      </c>
      <c r="U314">
        <f t="shared" si="13"/>
        <v>0</v>
      </c>
      <c r="V314" t="b">
        <f t="shared" si="14"/>
        <v>0</v>
      </c>
    </row>
    <row r="315" spans="1:22" x14ac:dyDescent="0.3">
      <c r="A315" t="s">
        <v>781</v>
      </c>
      <c r="B315">
        <v>2025</v>
      </c>
      <c r="C315" t="s">
        <v>782</v>
      </c>
      <c r="D315" t="s">
        <v>29</v>
      </c>
      <c r="E315" t="s">
        <v>783</v>
      </c>
      <c r="F315" t="s">
        <v>39</v>
      </c>
      <c r="G315" t="s">
        <v>24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f t="shared" si="12"/>
        <v>2</v>
      </c>
      <c r="U315">
        <f t="shared" si="13"/>
        <v>0</v>
      </c>
      <c r="V315" t="b">
        <f t="shared" si="14"/>
        <v>0</v>
      </c>
    </row>
    <row r="316" spans="1:22" x14ac:dyDescent="0.3">
      <c r="A316" t="s">
        <v>784</v>
      </c>
      <c r="B316">
        <v>2025</v>
      </c>
      <c r="C316" t="s">
        <v>209</v>
      </c>
      <c r="D316" t="s">
        <v>29</v>
      </c>
      <c r="E316" t="s">
        <v>785</v>
      </c>
      <c r="F316" t="s">
        <v>39</v>
      </c>
      <c r="G316" t="s">
        <v>24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f t="shared" si="12"/>
        <v>2</v>
      </c>
      <c r="U316">
        <f t="shared" si="13"/>
        <v>0</v>
      </c>
      <c r="V316" t="b">
        <f t="shared" si="14"/>
        <v>0</v>
      </c>
    </row>
    <row r="317" spans="1:22" x14ac:dyDescent="0.3">
      <c r="A317" t="s">
        <v>786</v>
      </c>
      <c r="B317">
        <v>2025</v>
      </c>
      <c r="C317" t="s">
        <v>221</v>
      </c>
      <c r="D317" t="s">
        <v>29</v>
      </c>
      <c r="E317" t="s">
        <v>787</v>
      </c>
      <c r="F317" t="s">
        <v>39</v>
      </c>
      <c r="G317" t="s">
        <v>24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f t="shared" si="12"/>
        <v>3</v>
      </c>
      <c r="U317">
        <f t="shared" si="13"/>
        <v>1</v>
      </c>
      <c r="V317" t="b">
        <f t="shared" si="14"/>
        <v>0</v>
      </c>
    </row>
    <row r="318" spans="1:22" x14ac:dyDescent="0.3">
      <c r="A318" t="s">
        <v>788</v>
      </c>
      <c r="B318">
        <v>2025</v>
      </c>
      <c r="C318" t="s">
        <v>789</v>
      </c>
      <c r="D318" t="s">
        <v>29</v>
      </c>
      <c r="E318" t="s">
        <v>790</v>
      </c>
      <c r="F318" t="s">
        <v>39</v>
      </c>
      <c r="G318" t="s">
        <v>24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f t="shared" si="12"/>
        <v>2</v>
      </c>
      <c r="U318">
        <f t="shared" si="13"/>
        <v>0</v>
      </c>
      <c r="V318" t="b">
        <f t="shared" si="14"/>
        <v>0</v>
      </c>
    </row>
    <row r="319" spans="1:22" x14ac:dyDescent="0.3">
      <c r="A319" t="s">
        <v>791</v>
      </c>
      <c r="B319">
        <v>2025</v>
      </c>
      <c r="C319" t="s">
        <v>747</v>
      </c>
      <c r="D319" t="s">
        <v>29</v>
      </c>
      <c r="E319" t="s">
        <v>792</v>
      </c>
      <c r="F319" t="s">
        <v>31</v>
      </c>
      <c r="G319" t="s">
        <v>24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f t="shared" si="12"/>
        <v>2</v>
      </c>
      <c r="U319">
        <f t="shared" si="13"/>
        <v>0</v>
      </c>
      <c r="V319" t="b">
        <f t="shared" si="14"/>
        <v>0</v>
      </c>
    </row>
    <row r="320" spans="1:22" x14ac:dyDescent="0.3">
      <c r="A320" t="s">
        <v>793</v>
      </c>
      <c r="B320">
        <v>2025</v>
      </c>
      <c r="C320" t="s">
        <v>766</v>
      </c>
      <c r="D320" t="s">
        <v>29</v>
      </c>
      <c r="E320" t="s">
        <v>794</v>
      </c>
      <c r="F320" t="s">
        <v>31</v>
      </c>
      <c r="G320" t="s">
        <v>24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f t="shared" si="12"/>
        <v>3</v>
      </c>
      <c r="U320">
        <f t="shared" si="13"/>
        <v>1</v>
      </c>
      <c r="V320" t="b">
        <f t="shared" si="14"/>
        <v>0</v>
      </c>
    </row>
    <row r="321" spans="1:22" x14ac:dyDescent="0.3">
      <c r="A321" t="s">
        <v>795</v>
      </c>
      <c r="B321">
        <v>2025</v>
      </c>
      <c r="C321" t="s">
        <v>796</v>
      </c>
      <c r="D321" t="s">
        <v>29</v>
      </c>
      <c r="E321" t="s">
        <v>797</v>
      </c>
      <c r="F321" t="s">
        <v>39</v>
      </c>
      <c r="G321" t="s">
        <v>24</v>
      </c>
      <c r="H321">
        <v>0</v>
      </c>
      <c r="I321">
        <v>0</v>
      </c>
      <c r="J321">
        <v>1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f t="shared" si="12"/>
        <v>3</v>
      </c>
      <c r="U321">
        <f t="shared" si="13"/>
        <v>0</v>
      </c>
      <c r="V321" t="b">
        <f t="shared" si="14"/>
        <v>0</v>
      </c>
    </row>
    <row r="322" spans="1:22" x14ac:dyDescent="0.3">
      <c r="A322" t="s">
        <v>798</v>
      </c>
      <c r="B322">
        <v>2025</v>
      </c>
      <c r="C322" t="s">
        <v>799</v>
      </c>
      <c r="D322" t="s">
        <v>29</v>
      </c>
      <c r="E322" t="s">
        <v>800</v>
      </c>
      <c r="F322" t="s">
        <v>31</v>
      </c>
      <c r="G322" t="s">
        <v>24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f t="shared" si="12"/>
        <v>3</v>
      </c>
      <c r="U322">
        <f t="shared" si="13"/>
        <v>0</v>
      </c>
      <c r="V322" t="b">
        <f t="shared" si="14"/>
        <v>0</v>
      </c>
    </row>
    <row r="323" spans="1:22" x14ac:dyDescent="0.3">
      <c r="A323" t="s">
        <v>801</v>
      </c>
      <c r="B323">
        <v>2025</v>
      </c>
      <c r="C323" t="s">
        <v>802</v>
      </c>
      <c r="D323" t="s">
        <v>29</v>
      </c>
      <c r="E323" t="s">
        <v>803</v>
      </c>
      <c r="F323" t="s">
        <v>31</v>
      </c>
      <c r="G323" t="s">
        <v>24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f t="shared" ref="T323:T386" si="15">SUM(H323:M323)</f>
        <v>2</v>
      </c>
      <c r="U323">
        <f t="shared" ref="U323:U386" si="16">SUM(N323:R323)</f>
        <v>0</v>
      </c>
      <c r="V323" t="b">
        <f t="shared" ref="V323:V386" si="17">T323&gt;4</f>
        <v>0</v>
      </c>
    </row>
    <row r="324" spans="1:22" x14ac:dyDescent="0.3">
      <c r="A324" t="s">
        <v>804</v>
      </c>
      <c r="B324">
        <v>2025</v>
      </c>
      <c r="C324" t="s">
        <v>805</v>
      </c>
      <c r="D324" t="s">
        <v>29</v>
      </c>
      <c r="E324" t="s">
        <v>806</v>
      </c>
      <c r="F324" t="s">
        <v>31</v>
      </c>
      <c r="G324" t="s">
        <v>24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f t="shared" si="15"/>
        <v>5</v>
      </c>
      <c r="U324">
        <f t="shared" si="16"/>
        <v>1</v>
      </c>
      <c r="V324" t="b">
        <f t="shared" si="17"/>
        <v>1</v>
      </c>
    </row>
    <row r="325" spans="1:22" x14ac:dyDescent="0.3">
      <c r="A325" t="s">
        <v>807</v>
      </c>
      <c r="B325">
        <v>2025</v>
      </c>
      <c r="C325" t="s">
        <v>789</v>
      </c>
      <c r="D325" t="s">
        <v>29</v>
      </c>
      <c r="E325" t="s">
        <v>808</v>
      </c>
      <c r="F325" t="s">
        <v>39</v>
      </c>
      <c r="G325" t="s">
        <v>24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f t="shared" si="15"/>
        <v>2</v>
      </c>
      <c r="U325">
        <f t="shared" si="16"/>
        <v>0</v>
      </c>
      <c r="V325" t="b">
        <f t="shared" si="17"/>
        <v>0</v>
      </c>
    </row>
    <row r="326" spans="1:22" x14ac:dyDescent="0.3">
      <c r="A326" t="s">
        <v>809</v>
      </c>
      <c r="B326">
        <v>2025</v>
      </c>
      <c r="C326" t="s">
        <v>810</v>
      </c>
      <c r="D326" t="s">
        <v>29</v>
      </c>
      <c r="E326" t="s">
        <v>811</v>
      </c>
      <c r="F326" t="s">
        <v>39</v>
      </c>
      <c r="G326" t="s">
        <v>24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f t="shared" si="15"/>
        <v>2</v>
      </c>
      <c r="U326">
        <f t="shared" si="16"/>
        <v>0</v>
      </c>
      <c r="V326" t="b">
        <f t="shared" si="17"/>
        <v>0</v>
      </c>
    </row>
    <row r="327" spans="1:22" x14ac:dyDescent="0.3">
      <c r="A327" t="s">
        <v>812</v>
      </c>
      <c r="B327">
        <v>2025</v>
      </c>
      <c r="C327" t="s">
        <v>813</v>
      </c>
      <c r="D327" t="s">
        <v>21</v>
      </c>
      <c r="E327" t="s">
        <v>814</v>
      </c>
      <c r="F327" t="s">
        <v>23</v>
      </c>
      <c r="G327" t="s">
        <v>24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f t="shared" si="15"/>
        <v>2</v>
      </c>
      <c r="U327">
        <f t="shared" si="16"/>
        <v>0</v>
      </c>
      <c r="V327" t="b">
        <f t="shared" si="17"/>
        <v>0</v>
      </c>
    </row>
    <row r="328" spans="1:22" x14ac:dyDescent="0.3">
      <c r="A328" t="s">
        <v>815</v>
      </c>
      <c r="B328">
        <v>2025</v>
      </c>
      <c r="C328" t="s">
        <v>816</v>
      </c>
      <c r="D328" t="s">
        <v>21</v>
      </c>
      <c r="E328" t="s">
        <v>817</v>
      </c>
      <c r="F328" t="s">
        <v>23</v>
      </c>
      <c r="G328" t="s">
        <v>24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f t="shared" si="15"/>
        <v>3</v>
      </c>
      <c r="U328">
        <f t="shared" si="16"/>
        <v>0</v>
      </c>
      <c r="V328" t="b">
        <f t="shared" si="17"/>
        <v>0</v>
      </c>
    </row>
    <row r="329" spans="1:22" x14ac:dyDescent="0.3">
      <c r="A329" t="s">
        <v>818</v>
      </c>
      <c r="B329">
        <v>2025</v>
      </c>
      <c r="C329" t="s">
        <v>181</v>
      </c>
      <c r="D329" t="s">
        <v>29</v>
      </c>
      <c r="E329" t="s">
        <v>819</v>
      </c>
      <c r="F329" t="s">
        <v>31</v>
      </c>
      <c r="G329" t="s">
        <v>24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f t="shared" si="15"/>
        <v>2</v>
      </c>
      <c r="U329">
        <f t="shared" si="16"/>
        <v>0</v>
      </c>
      <c r="V329" t="b">
        <f t="shared" si="17"/>
        <v>0</v>
      </c>
    </row>
    <row r="330" spans="1:22" x14ac:dyDescent="0.3">
      <c r="A330" t="s">
        <v>820</v>
      </c>
      <c r="B330">
        <v>2025</v>
      </c>
      <c r="C330" t="s">
        <v>747</v>
      </c>
      <c r="D330" t="s">
        <v>29</v>
      </c>
      <c r="E330" t="s">
        <v>821</v>
      </c>
      <c r="F330" t="s">
        <v>31</v>
      </c>
      <c r="G330" t="s">
        <v>24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f t="shared" si="15"/>
        <v>2</v>
      </c>
      <c r="U330">
        <f t="shared" si="16"/>
        <v>0</v>
      </c>
      <c r="V330" t="b">
        <f t="shared" si="17"/>
        <v>0</v>
      </c>
    </row>
    <row r="331" spans="1:22" x14ac:dyDescent="0.3">
      <c r="A331" t="s">
        <v>822</v>
      </c>
      <c r="B331">
        <v>2025</v>
      </c>
      <c r="C331" t="s">
        <v>823</v>
      </c>
      <c r="D331" t="s">
        <v>29</v>
      </c>
      <c r="E331" t="s">
        <v>824</v>
      </c>
      <c r="F331" t="s">
        <v>39</v>
      </c>
      <c r="G331" t="s">
        <v>24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f t="shared" si="15"/>
        <v>2</v>
      </c>
      <c r="U331">
        <f t="shared" si="16"/>
        <v>0</v>
      </c>
      <c r="V331" t="b">
        <f t="shared" si="17"/>
        <v>0</v>
      </c>
    </row>
    <row r="332" spans="1:22" x14ac:dyDescent="0.3">
      <c r="A332" t="s">
        <v>825</v>
      </c>
      <c r="B332">
        <v>2025</v>
      </c>
      <c r="C332" t="s">
        <v>771</v>
      </c>
      <c r="D332" t="s">
        <v>29</v>
      </c>
      <c r="E332" t="s">
        <v>826</v>
      </c>
      <c r="F332" t="s">
        <v>39</v>
      </c>
      <c r="G332" t="s">
        <v>24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f t="shared" si="15"/>
        <v>3</v>
      </c>
      <c r="U332">
        <f t="shared" si="16"/>
        <v>1</v>
      </c>
      <c r="V332" t="b">
        <f t="shared" si="17"/>
        <v>0</v>
      </c>
    </row>
    <row r="333" spans="1:22" x14ac:dyDescent="0.3">
      <c r="A333" t="s">
        <v>827</v>
      </c>
      <c r="B333">
        <v>2025</v>
      </c>
      <c r="C333" t="s">
        <v>828</v>
      </c>
      <c r="D333" t="s">
        <v>29</v>
      </c>
      <c r="E333" t="s">
        <v>829</v>
      </c>
      <c r="F333" t="s">
        <v>39</v>
      </c>
      <c r="G333" t="s">
        <v>24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f t="shared" si="15"/>
        <v>2</v>
      </c>
      <c r="U333">
        <f t="shared" si="16"/>
        <v>0</v>
      </c>
      <c r="V333" t="b">
        <f t="shared" si="17"/>
        <v>0</v>
      </c>
    </row>
    <row r="334" spans="1:22" x14ac:dyDescent="0.3">
      <c r="A334" t="s">
        <v>830</v>
      </c>
      <c r="B334">
        <v>2025</v>
      </c>
      <c r="C334" t="s">
        <v>184</v>
      </c>
      <c r="D334" t="s">
        <v>29</v>
      </c>
      <c r="E334" t="s">
        <v>831</v>
      </c>
      <c r="F334" t="s">
        <v>31</v>
      </c>
      <c r="G334" t="s">
        <v>24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f t="shared" si="15"/>
        <v>2</v>
      </c>
      <c r="U334">
        <f t="shared" si="16"/>
        <v>0</v>
      </c>
      <c r="V334" t="b">
        <f t="shared" si="17"/>
        <v>0</v>
      </c>
    </row>
    <row r="335" spans="1:22" x14ac:dyDescent="0.3">
      <c r="A335" t="s">
        <v>832</v>
      </c>
      <c r="B335">
        <v>2024</v>
      </c>
      <c r="C335" t="s">
        <v>833</v>
      </c>
      <c r="D335" t="s">
        <v>21</v>
      </c>
      <c r="E335" t="s">
        <v>834</v>
      </c>
      <c r="F335" t="s">
        <v>23</v>
      </c>
      <c r="G335" t="s">
        <v>24</v>
      </c>
      <c r="H335">
        <v>1</v>
      </c>
      <c r="I335">
        <v>1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f t="shared" si="15"/>
        <v>5</v>
      </c>
      <c r="U335">
        <f t="shared" si="16"/>
        <v>0</v>
      </c>
      <c r="V335" t="b">
        <f t="shared" si="17"/>
        <v>1</v>
      </c>
    </row>
    <row r="336" spans="1:22" x14ac:dyDescent="0.3">
      <c r="A336" t="s">
        <v>835</v>
      </c>
      <c r="B336">
        <v>2024</v>
      </c>
      <c r="C336" t="s">
        <v>48</v>
      </c>
      <c r="D336" t="s">
        <v>29</v>
      </c>
      <c r="E336" t="s">
        <v>836</v>
      </c>
      <c r="F336" t="s">
        <v>31</v>
      </c>
      <c r="G336" t="s">
        <v>24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f t="shared" si="15"/>
        <v>2</v>
      </c>
      <c r="U336">
        <f t="shared" si="16"/>
        <v>0</v>
      </c>
      <c r="V336" t="b">
        <f t="shared" si="17"/>
        <v>0</v>
      </c>
    </row>
    <row r="337" spans="1:22" x14ac:dyDescent="0.3">
      <c r="A337" t="s">
        <v>837</v>
      </c>
      <c r="B337">
        <v>2024</v>
      </c>
      <c r="C337" t="s">
        <v>838</v>
      </c>
      <c r="D337" t="s">
        <v>21</v>
      </c>
      <c r="E337" t="s">
        <v>839</v>
      </c>
      <c r="F337" t="s">
        <v>35</v>
      </c>
      <c r="G337" t="s">
        <v>24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f t="shared" si="15"/>
        <v>3</v>
      </c>
      <c r="U337">
        <f t="shared" si="16"/>
        <v>0</v>
      </c>
      <c r="V337" t="b">
        <f t="shared" si="17"/>
        <v>0</v>
      </c>
    </row>
    <row r="338" spans="1:22" x14ac:dyDescent="0.3">
      <c r="A338" t="s">
        <v>840</v>
      </c>
      <c r="B338">
        <v>2024</v>
      </c>
      <c r="C338" t="s">
        <v>841</v>
      </c>
      <c r="D338" t="s">
        <v>21</v>
      </c>
      <c r="E338" t="s">
        <v>842</v>
      </c>
      <c r="F338" t="s">
        <v>23</v>
      </c>
      <c r="G338" t="s">
        <v>24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f t="shared" si="15"/>
        <v>6</v>
      </c>
      <c r="U338">
        <f t="shared" si="16"/>
        <v>0</v>
      </c>
      <c r="V338" t="b">
        <f t="shared" si="17"/>
        <v>1</v>
      </c>
    </row>
    <row r="339" spans="1:22" x14ac:dyDescent="0.3">
      <c r="A339" t="s">
        <v>843</v>
      </c>
      <c r="B339">
        <v>2024</v>
      </c>
      <c r="C339" t="s">
        <v>844</v>
      </c>
      <c r="D339" t="s">
        <v>21</v>
      </c>
      <c r="E339" t="s">
        <v>845</v>
      </c>
      <c r="F339" t="s">
        <v>35</v>
      </c>
      <c r="G339" t="s">
        <v>24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f t="shared" si="15"/>
        <v>6</v>
      </c>
      <c r="U339">
        <f t="shared" si="16"/>
        <v>0</v>
      </c>
      <c r="V339" t="b">
        <f t="shared" si="17"/>
        <v>1</v>
      </c>
    </row>
    <row r="340" spans="1:22" x14ac:dyDescent="0.3">
      <c r="A340" t="s">
        <v>846</v>
      </c>
      <c r="B340">
        <v>2024</v>
      </c>
      <c r="C340" t="s">
        <v>847</v>
      </c>
      <c r="D340" t="s">
        <v>21</v>
      </c>
      <c r="E340" t="s">
        <v>848</v>
      </c>
      <c r="F340" t="s">
        <v>35</v>
      </c>
      <c r="G340" t="s">
        <v>24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f t="shared" si="15"/>
        <v>3</v>
      </c>
      <c r="U340">
        <f t="shared" si="16"/>
        <v>1</v>
      </c>
      <c r="V340" t="b">
        <f t="shared" si="17"/>
        <v>0</v>
      </c>
    </row>
    <row r="341" spans="1:22" x14ac:dyDescent="0.3">
      <c r="A341" t="s">
        <v>849</v>
      </c>
      <c r="B341">
        <v>2024</v>
      </c>
      <c r="C341" t="s">
        <v>844</v>
      </c>
      <c r="D341" t="s">
        <v>21</v>
      </c>
      <c r="E341" t="s">
        <v>850</v>
      </c>
      <c r="F341" t="s">
        <v>35</v>
      </c>
      <c r="G341" t="s">
        <v>24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</v>
      </c>
      <c r="T341">
        <f t="shared" si="15"/>
        <v>4</v>
      </c>
      <c r="U341">
        <f t="shared" si="16"/>
        <v>1</v>
      </c>
      <c r="V341" t="b">
        <f t="shared" si="17"/>
        <v>0</v>
      </c>
    </row>
    <row r="342" spans="1:22" x14ac:dyDescent="0.3">
      <c r="A342" t="s">
        <v>851</v>
      </c>
      <c r="B342">
        <v>2024</v>
      </c>
      <c r="C342" t="s">
        <v>833</v>
      </c>
      <c r="D342" t="s">
        <v>21</v>
      </c>
      <c r="E342" t="s">
        <v>852</v>
      </c>
      <c r="F342" t="s">
        <v>23</v>
      </c>
      <c r="G342" t="s">
        <v>24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f t="shared" si="15"/>
        <v>3</v>
      </c>
      <c r="U342">
        <f t="shared" si="16"/>
        <v>0</v>
      </c>
      <c r="V342" t="b">
        <f t="shared" si="17"/>
        <v>0</v>
      </c>
    </row>
    <row r="343" spans="1:22" x14ac:dyDescent="0.3">
      <c r="A343" t="s">
        <v>853</v>
      </c>
      <c r="B343">
        <v>2024</v>
      </c>
      <c r="C343" t="s">
        <v>37</v>
      </c>
      <c r="D343" t="s">
        <v>29</v>
      </c>
      <c r="E343" t="s">
        <v>854</v>
      </c>
      <c r="F343" t="s">
        <v>39</v>
      </c>
      <c r="G343" t="s">
        <v>24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f t="shared" si="15"/>
        <v>3</v>
      </c>
      <c r="U343">
        <f t="shared" si="16"/>
        <v>1</v>
      </c>
      <c r="V343" t="b">
        <f t="shared" si="17"/>
        <v>0</v>
      </c>
    </row>
    <row r="344" spans="1:22" x14ac:dyDescent="0.3">
      <c r="A344" t="s">
        <v>855</v>
      </c>
      <c r="B344">
        <v>2024</v>
      </c>
      <c r="C344" t="s">
        <v>48</v>
      </c>
      <c r="D344" t="s">
        <v>29</v>
      </c>
      <c r="E344" t="s">
        <v>856</v>
      </c>
      <c r="F344" t="s">
        <v>31</v>
      </c>
      <c r="G344" t="s">
        <v>24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f t="shared" si="15"/>
        <v>3</v>
      </c>
      <c r="U344">
        <f t="shared" si="16"/>
        <v>1</v>
      </c>
      <c r="V344" t="b">
        <f t="shared" si="17"/>
        <v>0</v>
      </c>
    </row>
    <row r="345" spans="1:22" x14ac:dyDescent="0.3">
      <c r="A345" t="s">
        <v>857</v>
      </c>
      <c r="B345">
        <v>2024</v>
      </c>
      <c r="C345" t="s">
        <v>53</v>
      </c>
      <c r="D345" t="s">
        <v>29</v>
      </c>
      <c r="E345" t="s">
        <v>858</v>
      </c>
      <c r="F345" t="s">
        <v>31</v>
      </c>
      <c r="G345" t="s">
        <v>24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f t="shared" si="15"/>
        <v>2</v>
      </c>
      <c r="U345">
        <f t="shared" si="16"/>
        <v>0</v>
      </c>
      <c r="V345" t="b">
        <f t="shared" si="17"/>
        <v>0</v>
      </c>
    </row>
    <row r="346" spans="1:22" x14ac:dyDescent="0.3">
      <c r="A346" t="s">
        <v>859</v>
      </c>
      <c r="B346">
        <v>2024</v>
      </c>
      <c r="C346" t="s">
        <v>347</v>
      </c>
      <c r="D346" t="s">
        <v>323</v>
      </c>
      <c r="E346" t="s">
        <v>860</v>
      </c>
      <c r="F346" t="s">
        <v>23</v>
      </c>
      <c r="G346" t="s">
        <v>24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f t="shared" si="15"/>
        <v>3</v>
      </c>
      <c r="U346">
        <f t="shared" si="16"/>
        <v>0</v>
      </c>
      <c r="V346" t="b">
        <f t="shared" si="17"/>
        <v>0</v>
      </c>
    </row>
    <row r="347" spans="1:22" x14ac:dyDescent="0.3">
      <c r="A347" t="s">
        <v>861</v>
      </c>
      <c r="B347">
        <v>2024</v>
      </c>
      <c r="C347" t="s">
        <v>53</v>
      </c>
      <c r="D347" t="s">
        <v>29</v>
      </c>
      <c r="E347" t="s">
        <v>862</v>
      </c>
      <c r="F347" t="s">
        <v>31</v>
      </c>
      <c r="G347" t="s">
        <v>24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f t="shared" si="15"/>
        <v>3</v>
      </c>
      <c r="U347">
        <f t="shared" si="16"/>
        <v>1</v>
      </c>
      <c r="V347" t="b">
        <f t="shared" si="17"/>
        <v>0</v>
      </c>
    </row>
    <row r="348" spans="1:22" x14ac:dyDescent="0.3">
      <c r="A348" t="s">
        <v>863</v>
      </c>
      <c r="B348">
        <v>2024</v>
      </c>
      <c r="C348" t="s">
        <v>53</v>
      </c>
      <c r="D348" t="s">
        <v>29</v>
      </c>
      <c r="E348" t="s">
        <v>864</v>
      </c>
      <c r="F348" t="s">
        <v>31</v>
      </c>
      <c r="G348" t="s">
        <v>24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f t="shared" si="15"/>
        <v>4</v>
      </c>
      <c r="U348">
        <f t="shared" si="16"/>
        <v>1</v>
      </c>
      <c r="V348" t="b">
        <f t="shared" si="17"/>
        <v>0</v>
      </c>
    </row>
    <row r="349" spans="1:22" x14ac:dyDescent="0.3">
      <c r="A349" t="s">
        <v>865</v>
      </c>
      <c r="B349">
        <v>2024</v>
      </c>
      <c r="C349" t="s">
        <v>866</v>
      </c>
      <c r="D349" t="s">
        <v>21</v>
      </c>
      <c r="E349" t="s">
        <v>867</v>
      </c>
      <c r="F349" t="s">
        <v>23</v>
      </c>
      <c r="G349" t="s">
        <v>24</v>
      </c>
      <c r="H349">
        <v>1</v>
      </c>
      <c r="I349">
        <v>1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f t="shared" si="15"/>
        <v>5</v>
      </c>
      <c r="U349">
        <f t="shared" si="16"/>
        <v>0</v>
      </c>
      <c r="V349" t="b">
        <f t="shared" si="17"/>
        <v>1</v>
      </c>
    </row>
    <row r="350" spans="1:22" x14ac:dyDescent="0.3">
      <c r="A350" t="s">
        <v>868</v>
      </c>
      <c r="B350">
        <v>2024</v>
      </c>
      <c r="C350" t="s">
        <v>869</v>
      </c>
      <c r="D350" t="s">
        <v>21</v>
      </c>
      <c r="E350" t="s">
        <v>870</v>
      </c>
      <c r="F350" t="s">
        <v>23</v>
      </c>
      <c r="G350" t="s">
        <v>24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f t="shared" si="15"/>
        <v>4</v>
      </c>
      <c r="U350">
        <f t="shared" si="16"/>
        <v>0</v>
      </c>
      <c r="V350" t="b">
        <f t="shared" si="17"/>
        <v>0</v>
      </c>
    </row>
    <row r="351" spans="1:22" x14ac:dyDescent="0.3">
      <c r="A351" t="s">
        <v>871</v>
      </c>
      <c r="B351">
        <v>2024</v>
      </c>
      <c r="C351" t="s">
        <v>866</v>
      </c>
      <c r="D351" t="s">
        <v>21</v>
      </c>
      <c r="E351" t="s">
        <v>872</v>
      </c>
      <c r="F351" t="s">
        <v>23</v>
      </c>
      <c r="G351" t="s">
        <v>24</v>
      </c>
      <c r="H351">
        <v>1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f t="shared" si="15"/>
        <v>5</v>
      </c>
      <c r="U351">
        <f t="shared" si="16"/>
        <v>0</v>
      </c>
      <c r="V351" t="b">
        <f t="shared" si="17"/>
        <v>1</v>
      </c>
    </row>
    <row r="352" spans="1:22" x14ac:dyDescent="0.3">
      <c r="A352" t="s">
        <v>873</v>
      </c>
      <c r="B352">
        <v>2024</v>
      </c>
      <c r="C352" t="s">
        <v>28</v>
      </c>
      <c r="D352" t="s">
        <v>29</v>
      </c>
      <c r="E352" t="s">
        <v>874</v>
      </c>
      <c r="F352" t="s">
        <v>31</v>
      </c>
      <c r="G352" t="s">
        <v>24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f t="shared" si="15"/>
        <v>2</v>
      </c>
      <c r="U352">
        <f t="shared" si="16"/>
        <v>0</v>
      </c>
      <c r="V352" t="b">
        <f t="shared" si="17"/>
        <v>0</v>
      </c>
    </row>
    <row r="353" spans="1:22" x14ac:dyDescent="0.3">
      <c r="A353" t="s">
        <v>875</v>
      </c>
      <c r="B353">
        <v>2024</v>
      </c>
      <c r="C353" t="s">
        <v>876</v>
      </c>
      <c r="D353" t="s">
        <v>21</v>
      </c>
      <c r="E353" t="s">
        <v>877</v>
      </c>
      <c r="F353" t="s">
        <v>23</v>
      </c>
      <c r="G353" t="s">
        <v>24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f t="shared" si="15"/>
        <v>3</v>
      </c>
      <c r="U353">
        <f t="shared" si="16"/>
        <v>0</v>
      </c>
      <c r="V353" t="b">
        <f t="shared" si="17"/>
        <v>0</v>
      </c>
    </row>
    <row r="354" spans="1:22" x14ac:dyDescent="0.3">
      <c r="A354" t="s">
        <v>878</v>
      </c>
      <c r="B354">
        <v>2024</v>
      </c>
      <c r="C354" t="s">
        <v>53</v>
      </c>
      <c r="D354" t="s">
        <v>29</v>
      </c>
      <c r="E354" t="s">
        <v>879</v>
      </c>
      <c r="F354" t="s">
        <v>31</v>
      </c>
      <c r="G354" t="s">
        <v>24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f t="shared" si="15"/>
        <v>4</v>
      </c>
      <c r="U354">
        <f t="shared" si="16"/>
        <v>1</v>
      </c>
      <c r="V354" t="b">
        <f t="shared" si="17"/>
        <v>0</v>
      </c>
    </row>
    <row r="355" spans="1:22" x14ac:dyDescent="0.3">
      <c r="A355" t="s">
        <v>880</v>
      </c>
      <c r="B355">
        <v>2024</v>
      </c>
      <c r="C355" t="s">
        <v>881</v>
      </c>
      <c r="D355" t="s">
        <v>21</v>
      </c>
      <c r="E355" t="s">
        <v>882</v>
      </c>
      <c r="F355" t="s">
        <v>23</v>
      </c>
      <c r="G355" t="s">
        <v>24</v>
      </c>
      <c r="H355">
        <v>1</v>
      </c>
      <c r="I355">
        <v>0</v>
      </c>
      <c r="J355">
        <v>1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f t="shared" si="15"/>
        <v>4</v>
      </c>
      <c r="U355">
        <f t="shared" si="16"/>
        <v>0</v>
      </c>
      <c r="V355" t="b">
        <f t="shared" si="17"/>
        <v>0</v>
      </c>
    </row>
    <row r="356" spans="1:22" x14ac:dyDescent="0.3">
      <c r="A356" t="s">
        <v>883</v>
      </c>
      <c r="B356">
        <v>2024</v>
      </c>
      <c r="C356" t="s">
        <v>841</v>
      </c>
      <c r="D356" t="s">
        <v>21</v>
      </c>
      <c r="E356" t="s">
        <v>884</v>
      </c>
      <c r="F356" t="s">
        <v>23</v>
      </c>
      <c r="G356" t="s">
        <v>24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f t="shared" si="15"/>
        <v>3</v>
      </c>
      <c r="U356">
        <f t="shared" si="16"/>
        <v>0</v>
      </c>
      <c r="V356" t="b">
        <f t="shared" si="17"/>
        <v>0</v>
      </c>
    </row>
    <row r="357" spans="1:22" x14ac:dyDescent="0.3">
      <c r="A357" t="s">
        <v>885</v>
      </c>
      <c r="B357">
        <v>2024</v>
      </c>
      <c r="C357" t="s">
        <v>53</v>
      </c>
      <c r="D357" t="s">
        <v>29</v>
      </c>
      <c r="E357" t="s">
        <v>886</v>
      </c>
      <c r="F357" t="s">
        <v>31</v>
      </c>
      <c r="G357" t="s">
        <v>24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f t="shared" si="15"/>
        <v>2</v>
      </c>
      <c r="U357">
        <f t="shared" si="16"/>
        <v>0</v>
      </c>
      <c r="V357" t="b">
        <f t="shared" si="17"/>
        <v>0</v>
      </c>
    </row>
    <row r="358" spans="1:22" x14ac:dyDescent="0.3">
      <c r="A358" t="s">
        <v>887</v>
      </c>
      <c r="B358">
        <v>2024</v>
      </c>
      <c r="C358" t="s">
        <v>869</v>
      </c>
      <c r="D358" t="s">
        <v>21</v>
      </c>
      <c r="E358" t="s">
        <v>888</v>
      </c>
      <c r="F358" t="s">
        <v>23</v>
      </c>
      <c r="G358" t="s">
        <v>24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f t="shared" si="15"/>
        <v>2</v>
      </c>
      <c r="U358">
        <f t="shared" si="16"/>
        <v>0</v>
      </c>
      <c r="V358" t="b">
        <f t="shared" si="17"/>
        <v>0</v>
      </c>
    </row>
    <row r="359" spans="1:22" x14ac:dyDescent="0.3">
      <c r="A359" t="s">
        <v>889</v>
      </c>
      <c r="B359">
        <v>2024</v>
      </c>
      <c r="C359" t="s">
        <v>37</v>
      </c>
      <c r="D359" t="s">
        <v>29</v>
      </c>
      <c r="E359" t="s">
        <v>890</v>
      </c>
      <c r="F359" t="s">
        <v>39</v>
      </c>
      <c r="G359" t="s">
        <v>24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f t="shared" si="15"/>
        <v>2</v>
      </c>
      <c r="U359">
        <f t="shared" si="16"/>
        <v>0</v>
      </c>
      <c r="V359" t="b">
        <f t="shared" si="17"/>
        <v>0</v>
      </c>
    </row>
    <row r="360" spans="1:22" x14ac:dyDescent="0.3">
      <c r="A360" t="s">
        <v>891</v>
      </c>
      <c r="B360">
        <v>2024</v>
      </c>
      <c r="C360" t="s">
        <v>838</v>
      </c>
      <c r="D360" t="s">
        <v>21</v>
      </c>
      <c r="E360" t="s">
        <v>892</v>
      </c>
      <c r="F360" t="s">
        <v>35</v>
      </c>
      <c r="G360" t="s">
        <v>24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f t="shared" si="15"/>
        <v>3</v>
      </c>
      <c r="U360">
        <f t="shared" si="16"/>
        <v>0</v>
      </c>
      <c r="V360" t="b">
        <f t="shared" si="17"/>
        <v>0</v>
      </c>
    </row>
    <row r="361" spans="1:22" x14ac:dyDescent="0.3">
      <c r="A361" t="s">
        <v>893</v>
      </c>
      <c r="B361">
        <v>2024</v>
      </c>
      <c r="C361" t="s">
        <v>881</v>
      </c>
      <c r="D361" t="s">
        <v>21</v>
      </c>
      <c r="E361" t="s">
        <v>894</v>
      </c>
      <c r="F361" t="s">
        <v>23</v>
      </c>
      <c r="G361" t="s">
        <v>24</v>
      </c>
      <c r="H361">
        <v>1</v>
      </c>
      <c r="I361">
        <v>0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f t="shared" si="15"/>
        <v>4</v>
      </c>
      <c r="U361">
        <f t="shared" si="16"/>
        <v>0</v>
      </c>
      <c r="V361" t="b">
        <f t="shared" si="17"/>
        <v>0</v>
      </c>
    </row>
    <row r="362" spans="1:22" x14ac:dyDescent="0.3">
      <c r="A362" t="s">
        <v>895</v>
      </c>
      <c r="B362">
        <v>2024</v>
      </c>
      <c r="C362" t="s">
        <v>866</v>
      </c>
      <c r="D362" t="s">
        <v>21</v>
      </c>
      <c r="E362" t="s">
        <v>896</v>
      </c>
      <c r="F362" t="s">
        <v>23</v>
      </c>
      <c r="G362" t="s">
        <v>24</v>
      </c>
      <c r="H362">
        <v>1</v>
      </c>
      <c r="I362">
        <v>0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f t="shared" si="15"/>
        <v>4</v>
      </c>
      <c r="U362">
        <f t="shared" si="16"/>
        <v>0</v>
      </c>
      <c r="V362" t="b">
        <f t="shared" si="17"/>
        <v>0</v>
      </c>
    </row>
    <row r="363" spans="1:22" x14ac:dyDescent="0.3">
      <c r="A363" t="s">
        <v>897</v>
      </c>
      <c r="B363">
        <v>2024</v>
      </c>
      <c r="C363" t="s">
        <v>876</v>
      </c>
      <c r="D363" t="s">
        <v>21</v>
      </c>
      <c r="E363" t="s">
        <v>898</v>
      </c>
      <c r="F363" t="s">
        <v>23</v>
      </c>
      <c r="G363" t="s">
        <v>24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f t="shared" si="15"/>
        <v>3</v>
      </c>
      <c r="U363">
        <f t="shared" si="16"/>
        <v>0</v>
      </c>
      <c r="V363" t="b">
        <f t="shared" si="17"/>
        <v>0</v>
      </c>
    </row>
    <row r="364" spans="1:22" x14ac:dyDescent="0.3">
      <c r="A364" t="s">
        <v>899</v>
      </c>
      <c r="B364">
        <v>2024</v>
      </c>
      <c r="C364" t="s">
        <v>838</v>
      </c>
      <c r="D364" t="s">
        <v>21</v>
      </c>
      <c r="E364" t="s">
        <v>900</v>
      </c>
      <c r="F364" t="s">
        <v>35</v>
      </c>
      <c r="G364" t="s">
        <v>24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f t="shared" si="15"/>
        <v>3</v>
      </c>
      <c r="U364">
        <f t="shared" si="16"/>
        <v>0</v>
      </c>
      <c r="V364" t="b">
        <f t="shared" si="17"/>
        <v>0</v>
      </c>
    </row>
    <row r="365" spans="1:22" x14ac:dyDescent="0.3">
      <c r="A365" t="s">
        <v>901</v>
      </c>
      <c r="B365">
        <v>2024</v>
      </c>
      <c r="C365" t="s">
        <v>838</v>
      </c>
      <c r="D365" t="s">
        <v>21</v>
      </c>
      <c r="E365" t="s">
        <v>902</v>
      </c>
      <c r="F365" t="s">
        <v>35</v>
      </c>
      <c r="G365" t="s">
        <v>24</v>
      </c>
      <c r="H365">
        <v>1</v>
      </c>
      <c r="I365">
        <v>1</v>
      </c>
      <c r="J365">
        <v>0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f t="shared" si="15"/>
        <v>5</v>
      </c>
      <c r="U365">
        <f t="shared" si="16"/>
        <v>0</v>
      </c>
      <c r="V365" t="b">
        <f t="shared" si="17"/>
        <v>1</v>
      </c>
    </row>
    <row r="366" spans="1:22" x14ac:dyDescent="0.3">
      <c r="A366" t="s">
        <v>903</v>
      </c>
      <c r="B366">
        <v>2024</v>
      </c>
      <c r="C366" t="s">
        <v>28</v>
      </c>
      <c r="D366" t="s">
        <v>29</v>
      </c>
      <c r="E366" t="s">
        <v>904</v>
      </c>
      <c r="F366" t="s">
        <v>31</v>
      </c>
      <c r="G366" t="s">
        <v>24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f t="shared" si="15"/>
        <v>3</v>
      </c>
      <c r="U366">
        <f t="shared" si="16"/>
        <v>0</v>
      </c>
      <c r="V366" t="b">
        <f t="shared" si="17"/>
        <v>0</v>
      </c>
    </row>
    <row r="367" spans="1:22" x14ac:dyDescent="0.3">
      <c r="A367" t="s">
        <v>905</v>
      </c>
      <c r="B367">
        <v>2024</v>
      </c>
      <c r="C367" t="s">
        <v>876</v>
      </c>
      <c r="D367" t="s">
        <v>21</v>
      </c>
      <c r="E367" t="s">
        <v>906</v>
      </c>
      <c r="F367" t="s">
        <v>23</v>
      </c>
      <c r="G367" t="s">
        <v>24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f t="shared" si="15"/>
        <v>3</v>
      </c>
      <c r="U367">
        <f t="shared" si="16"/>
        <v>0</v>
      </c>
      <c r="V367" t="b">
        <f t="shared" si="17"/>
        <v>0</v>
      </c>
    </row>
    <row r="368" spans="1:22" x14ac:dyDescent="0.3">
      <c r="A368" t="s">
        <v>907</v>
      </c>
      <c r="B368">
        <v>2024</v>
      </c>
      <c r="C368" t="s">
        <v>881</v>
      </c>
      <c r="D368" t="s">
        <v>21</v>
      </c>
      <c r="E368" t="s">
        <v>908</v>
      </c>
      <c r="F368" t="s">
        <v>23</v>
      </c>
      <c r="G368" t="s">
        <v>24</v>
      </c>
      <c r="H368">
        <v>1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f t="shared" si="15"/>
        <v>5</v>
      </c>
      <c r="U368">
        <f t="shared" si="16"/>
        <v>0</v>
      </c>
      <c r="V368" t="b">
        <f t="shared" si="17"/>
        <v>1</v>
      </c>
    </row>
    <row r="369" spans="1:22" x14ac:dyDescent="0.3">
      <c r="A369" t="s">
        <v>909</v>
      </c>
      <c r="B369">
        <v>2024</v>
      </c>
      <c r="C369" t="s">
        <v>838</v>
      </c>
      <c r="D369" t="s">
        <v>21</v>
      </c>
      <c r="E369" t="s">
        <v>910</v>
      </c>
      <c r="F369" t="s">
        <v>35</v>
      </c>
      <c r="G369" t="s">
        <v>24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f t="shared" si="15"/>
        <v>3</v>
      </c>
      <c r="U369">
        <f t="shared" si="16"/>
        <v>0</v>
      </c>
      <c r="V369" t="b">
        <f t="shared" si="17"/>
        <v>0</v>
      </c>
    </row>
    <row r="370" spans="1:22" x14ac:dyDescent="0.3">
      <c r="A370" t="s">
        <v>911</v>
      </c>
      <c r="B370">
        <v>2024</v>
      </c>
      <c r="C370" t="s">
        <v>37</v>
      </c>
      <c r="D370" t="s">
        <v>29</v>
      </c>
      <c r="E370" t="s">
        <v>912</v>
      </c>
      <c r="F370" t="s">
        <v>39</v>
      </c>
      <c r="G370" t="s">
        <v>24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f t="shared" si="15"/>
        <v>3</v>
      </c>
      <c r="U370">
        <f t="shared" si="16"/>
        <v>0</v>
      </c>
      <c r="V370" t="b">
        <f t="shared" si="17"/>
        <v>0</v>
      </c>
    </row>
    <row r="371" spans="1:22" x14ac:dyDescent="0.3">
      <c r="A371" t="s">
        <v>913</v>
      </c>
      <c r="B371">
        <v>2024</v>
      </c>
      <c r="C371" t="s">
        <v>841</v>
      </c>
      <c r="D371" t="s">
        <v>21</v>
      </c>
      <c r="E371" t="s">
        <v>914</v>
      </c>
      <c r="F371" t="s">
        <v>23</v>
      </c>
      <c r="G371" t="s">
        <v>24</v>
      </c>
      <c r="H371">
        <v>1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f t="shared" si="15"/>
        <v>5</v>
      </c>
      <c r="U371">
        <f t="shared" si="16"/>
        <v>0</v>
      </c>
      <c r="V371" t="b">
        <f t="shared" si="17"/>
        <v>1</v>
      </c>
    </row>
    <row r="372" spans="1:22" x14ac:dyDescent="0.3">
      <c r="A372" t="s">
        <v>915</v>
      </c>
      <c r="B372">
        <v>2024</v>
      </c>
      <c r="C372" t="s">
        <v>838</v>
      </c>
      <c r="D372" t="s">
        <v>21</v>
      </c>
      <c r="E372" t="s">
        <v>916</v>
      </c>
      <c r="F372" t="s">
        <v>35</v>
      </c>
      <c r="G372" t="s">
        <v>24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f t="shared" si="15"/>
        <v>3</v>
      </c>
      <c r="U372">
        <f t="shared" si="16"/>
        <v>0</v>
      </c>
      <c r="V372" t="b">
        <f t="shared" si="17"/>
        <v>0</v>
      </c>
    </row>
    <row r="373" spans="1:22" x14ac:dyDescent="0.3">
      <c r="A373" t="s">
        <v>917</v>
      </c>
      <c r="B373">
        <v>2024</v>
      </c>
      <c r="C373" t="s">
        <v>53</v>
      </c>
      <c r="D373" t="s">
        <v>29</v>
      </c>
      <c r="E373" t="s">
        <v>918</v>
      </c>
      <c r="F373" t="s">
        <v>31</v>
      </c>
      <c r="G373" t="s">
        <v>24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  <c r="T373">
        <f t="shared" si="15"/>
        <v>4</v>
      </c>
      <c r="U373">
        <f t="shared" si="16"/>
        <v>1</v>
      </c>
      <c r="V373" t="b">
        <f t="shared" si="17"/>
        <v>0</v>
      </c>
    </row>
    <row r="374" spans="1:22" x14ac:dyDescent="0.3">
      <c r="A374" t="s">
        <v>919</v>
      </c>
      <c r="B374">
        <v>2024</v>
      </c>
      <c r="C374" t="s">
        <v>28</v>
      </c>
      <c r="D374" t="s">
        <v>29</v>
      </c>
      <c r="E374" t="s">
        <v>920</v>
      </c>
      <c r="F374" t="s">
        <v>31</v>
      </c>
      <c r="G374" t="s">
        <v>24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f t="shared" si="15"/>
        <v>3</v>
      </c>
      <c r="U374">
        <f t="shared" si="16"/>
        <v>0</v>
      </c>
      <c r="V374" t="b">
        <f t="shared" si="17"/>
        <v>0</v>
      </c>
    </row>
    <row r="375" spans="1:22" x14ac:dyDescent="0.3">
      <c r="A375" t="s">
        <v>921</v>
      </c>
      <c r="B375">
        <v>2024</v>
      </c>
      <c r="C375" t="s">
        <v>866</v>
      </c>
      <c r="D375" t="s">
        <v>21</v>
      </c>
      <c r="E375" t="s">
        <v>922</v>
      </c>
      <c r="F375" t="s">
        <v>23</v>
      </c>
      <c r="G375" t="s">
        <v>24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f t="shared" si="15"/>
        <v>3</v>
      </c>
      <c r="U375">
        <f t="shared" si="16"/>
        <v>0</v>
      </c>
      <c r="V375" t="b">
        <f t="shared" si="17"/>
        <v>0</v>
      </c>
    </row>
    <row r="376" spans="1:22" x14ac:dyDescent="0.3">
      <c r="A376" t="s">
        <v>923</v>
      </c>
      <c r="B376">
        <v>2024</v>
      </c>
      <c r="C376" t="s">
        <v>838</v>
      </c>
      <c r="D376" t="s">
        <v>21</v>
      </c>
      <c r="E376" t="s">
        <v>924</v>
      </c>
      <c r="F376" t="s">
        <v>35</v>
      </c>
      <c r="G376" t="s">
        <v>24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f t="shared" si="15"/>
        <v>3</v>
      </c>
      <c r="U376">
        <f t="shared" si="16"/>
        <v>0</v>
      </c>
      <c r="V376" t="b">
        <f t="shared" si="17"/>
        <v>0</v>
      </c>
    </row>
    <row r="377" spans="1:22" x14ac:dyDescent="0.3">
      <c r="A377" t="s">
        <v>925</v>
      </c>
      <c r="B377">
        <v>2024</v>
      </c>
      <c r="C377" t="s">
        <v>833</v>
      </c>
      <c r="D377" t="s">
        <v>21</v>
      </c>
      <c r="E377" t="s">
        <v>926</v>
      </c>
      <c r="F377" t="s">
        <v>23</v>
      </c>
      <c r="G377" t="s">
        <v>24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f t="shared" si="15"/>
        <v>3</v>
      </c>
      <c r="U377">
        <f t="shared" si="16"/>
        <v>0</v>
      </c>
      <c r="V377" t="b">
        <f t="shared" si="17"/>
        <v>0</v>
      </c>
    </row>
    <row r="378" spans="1:22" x14ac:dyDescent="0.3">
      <c r="A378" t="s">
        <v>927</v>
      </c>
      <c r="B378">
        <v>2024</v>
      </c>
      <c r="C378" t="s">
        <v>838</v>
      </c>
      <c r="D378" t="s">
        <v>21</v>
      </c>
      <c r="E378" t="s">
        <v>928</v>
      </c>
      <c r="F378" t="s">
        <v>35</v>
      </c>
      <c r="G378" t="s">
        <v>24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f t="shared" si="15"/>
        <v>6</v>
      </c>
      <c r="U378">
        <f t="shared" si="16"/>
        <v>0</v>
      </c>
      <c r="V378" t="b">
        <f t="shared" si="17"/>
        <v>1</v>
      </c>
    </row>
    <row r="379" spans="1:22" x14ac:dyDescent="0.3">
      <c r="A379" t="s">
        <v>929</v>
      </c>
      <c r="B379">
        <v>2024</v>
      </c>
      <c r="C379" t="s">
        <v>881</v>
      </c>
      <c r="D379" t="s">
        <v>21</v>
      </c>
      <c r="E379" t="s">
        <v>930</v>
      </c>
      <c r="F379" t="s">
        <v>23</v>
      </c>
      <c r="G379" t="s">
        <v>24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f t="shared" si="15"/>
        <v>3</v>
      </c>
      <c r="U379">
        <f t="shared" si="16"/>
        <v>0</v>
      </c>
      <c r="V379" t="b">
        <f t="shared" si="17"/>
        <v>0</v>
      </c>
    </row>
    <row r="380" spans="1:22" x14ac:dyDescent="0.3">
      <c r="A380" t="s">
        <v>931</v>
      </c>
      <c r="B380">
        <v>2024</v>
      </c>
      <c r="C380" t="s">
        <v>838</v>
      </c>
      <c r="D380" t="s">
        <v>21</v>
      </c>
      <c r="E380" t="s">
        <v>932</v>
      </c>
      <c r="F380" t="s">
        <v>35</v>
      </c>
      <c r="G380" t="s">
        <v>24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f t="shared" si="15"/>
        <v>3</v>
      </c>
      <c r="U380">
        <f t="shared" si="16"/>
        <v>0</v>
      </c>
      <c r="V380" t="b">
        <f t="shared" si="17"/>
        <v>0</v>
      </c>
    </row>
    <row r="381" spans="1:22" x14ac:dyDescent="0.3">
      <c r="A381" t="s">
        <v>933</v>
      </c>
      <c r="B381">
        <v>2024</v>
      </c>
      <c r="C381" t="s">
        <v>838</v>
      </c>
      <c r="D381" t="s">
        <v>21</v>
      </c>
      <c r="E381" t="s">
        <v>934</v>
      </c>
      <c r="F381" t="s">
        <v>35</v>
      </c>
      <c r="G381" t="s">
        <v>24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f t="shared" si="15"/>
        <v>3</v>
      </c>
      <c r="U381">
        <f t="shared" si="16"/>
        <v>0</v>
      </c>
      <c r="V381" t="b">
        <f t="shared" si="17"/>
        <v>0</v>
      </c>
    </row>
    <row r="382" spans="1:22" x14ac:dyDescent="0.3">
      <c r="A382" t="s">
        <v>935</v>
      </c>
      <c r="B382">
        <v>2024</v>
      </c>
      <c r="C382" t="s">
        <v>881</v>
      </c>
      <c r="D382" t="s">
        <v>21</v>
      </c>
      <c r="E382" t="s">
        <v>936</v>
      </c>
      <c r="F382" t="s">
        <v>23</v>
      </c>
      <c r="G382" t="s">
        <v>24</v>
      </c>
      <c r="H382">
        <v>1</v>
      </c>
      <c r="I382">
        <v>0</v>
      </c>
      <c r="J382">
        <v>1</v>
      </c>
      <c r="K382">
        <v>0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f t="shared" si="15"/>
        <v>4</v>
      </c>
      <c r="U382">
        <f t="shared" si="16"/>
        <v>0</v>
      </c>
      <c r="V382" t="b">
        <f t="shared" si="17"/>
        <v>0</v>
      </c>
    </row>
    <row r="383" spans="1:22" x14ac:dyDescent="0.3">
      <c r="A383" t="s">
        <v>937</v>
      </c>
      <c r="B383">
        <v>2024</v>
      </c>
      <c r="C383" t="s">
        <v>938</v>
      </c>
      <c r="D383" t="s">
        <v>21</v>
      </c>
      <c r="E383" t="s">
        <v>939</v>
      </c>
      <c r="F383" t="s">
        <v>35</v>
      </c>
      <c r="G383" t="s">
        <v>24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f t="shared" si="15"/>
        <v>2</v>
      </c>
      <c r="U383">
        <f t="shared" si="16"/>
        <v>0</v>
      </c>
      <c r="V383" t="b">
        <f t="shared" si="17"/>
        <v>0</v>
      </c>
    </row>
    <row r="384" spans="1:22" x14ac:dyDescent="0.3">
      <c r="A384" t="s">
        <v>940</v>
      </c>
      <c r="B384">
        <v>2024</v>
      </c>
      <c r="C384" t="s">
        <v>838</v>
      </c>
      <c r="D384" t="s">
        <v>21</v>
      </c>
      <c r="E384" t="s">
        <v>941</v>
      </c>
      <c r="F384" t="s">
        <v>35</v>
      </c>
      <c r="G384" t="s">
        <v>24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f t="shared" si="15"/>
        <v>6</v>
      </c>
      <c r="U384">
        <f t="shared" si="16"/>
        <v>0</v>
      </c>
      <c r="V384" t="b">
        <f t="shared" si="17"/>
        <v>1</v>
      </c>
    </row>
    <row r="385" spans="1:22" x14ac:dyDescent="0.3">
      <c r="A385" t="s">
        <v>942</v>
      </c>
      <c r="B385">
        <v>2024</v>
      </c>
      <c r="C385" t="s">
        <v>53</v>
      </c>
      <c r="D385" t="s">
        <v>29</v>
      </c>
      <c r="E385" t="s">
        <v>943</v>
      </c>
      <c r="F385" t="s">
        <v>31</v>
      </c>
      <c r="G385" t="s">
        <v>24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f t="shared" si="15"/>
        <v>2</v>
      </c>
      <c r="U385">
        <f t="shared" si="16"/>
        <v>0</v>
      </c>
      <c r="V385" t="b">
        <f t="shared" si="17"/>
        <v>0</v>
      </c>
    </row>
    <row r="386" spans="1:22" x14ac:dyDescent="0.3">
      <c r="A386" t="s">
        <v>944</v>
      </c>
      <c r="B386">
        <v>2024</v>
      </c>
      <c r="C386" t="s">
        <v>945</v>
      </c>
      <c r="D386" t="s">
        <v>21</v>
      </c>
      <c r="E386" t="s">
        <v>946</v>
      </c>
      <c r="F386" t="s">
        <v>35</v>
      </c>
      <c r="G386" t="s">
        <v>24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f t="shared" si="15"/>
        <v>2</v>
      </c>
      <c r="U386">
        <f t="shared" si="16"/>
        <v>0</v>
      </c>
      <c r="V386" t="b">
        <f t="shared" si="17"/>
        <v>0</v>
      </c>
    </row>
    <row r="387" spans="1:22" x14ac:dyDescent="0.3">
      <c r="A387" t="s">
        <v>947</v>
      </c>
      <c r="B387">
        <v>2024</v>
      </c>
      <c r="C387" t="s">
        <v>869</v>
      </c>
      <c r="D387" t="s">
        <v>21</v>
      </c>
      <c r="E387" t="s">
        <v>948</v>
      </c>
      <c r="F387" t="s">
        <v>23</v>
      </c>
      <c r="G387" t="s">
        <v>24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f t="shared" ref="T387:T450" si="18">SUM(H387:M387)</f>
        <v>3</v>
      </c>
      <c r="U387">
        <f t="shared" ref="U387:U450" si="19">SUM(N387:R387)</f>
        <v>0</v>
      </c>
      <c r="V387" t="b">
        <f t="shared" ref="V387:V450" si="20">T387&gt;4</f>
        <v>0</v>
      </c>
    </row>
    <row r="388" spans="1:22" x14ac:dyDescent="0.3">
      <c r="A388" t="s">
        <v>949</v>
      </c>
      <c r="B388">
        <v>2024</v>
      </c>
      <c r="C388" t="s">
        <v>881</v>
      </c>
      <c r="D388" t="s">
        <v>21</v>
      </c>
      <c r="E388" t="s">
        <v>950</v>
      </c>
      <c r="F388" t="s">
        <v>23</v>
      </c>
      <c r="G388" t="s">
        <v>24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f t="shared" si="18"/>
        <v>5</v>
      </c>
      <c r="U388">
        <f t="shared" si="19"/>
        <v>0</v>
      </c>
      <c r="V388" t="b">
        <f t="shared" si="20"/>
        <v>1</v>
      </c>
    </row>
    <row r="389" spans="1:22" x14ac:dyDescent="0.3">
      <c r="A389" t="s">
        <v>951</v>
      </c>
      <c r="B389">
        <v>2024</v>
      </c>
      <c r="C389" t="s">
        <v>28</v>
      </c>
      <c r="D389" t="s">
        <v>29</v>
      </c>
      <c r="E389" t="s">
        <v>952</v>
      </c>
      <c r="F389" t="s">
        <v>31</v>
      </c>
      <c r="G389" t="s">
        <v>24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f t="shared" si="18"/>
        <v>4</v>
      </c>
      <c r="U389">
        <f t="shared" si="19"/>
        <v>0</v>
      </c>
      <c r="V389" t="b">
        <f t="shared" si="20"/>
        <v>0</v>
      </c>
    </row>
    <row r="390" spans="1:22" x14ac:dyDescent="0.3">
      <c r="A390" t="s">
        <v>953</v>
      </c>
      <c r="B390">
        <v>2024</v>
      </c>
      <c r="C390" t="s">
        <v>866</v>
      </c>
      <c r="D390" t="s">
        <v>21</v>
      </c>
      <c r="E390" t="s">
        <v>954</v>
      </c>
      <c r="F390" t="s">
        <v>23</v>
      </c>
      <c r="G390" t="s">
        <v>24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f t="shared" si="18"/>
        <v>3</v>
      </c>
      <c r="U390">
        <f t="shared" si="19"/>
        <v>0</v>
      </c>
      <c r="V390" t="b">
        <f t="shared" si="20"/>
        <v>0</v>
      </c>
    </row>
    <row r="391" spans="1:22" x14ac:dyDescent="0.3">
      <c r="A391" t="s">
        <v>955</v>
      </c>
      <c r="B391">
        <v>2024</v>
      </c>
      <c r="C391" t="s">
        <v>838</v>
      </c>
      <c r="D391" t="s">
        <v>21</v>
      </c>
      <c r="E391" t="s">
        <v>956</v>
      </c>
      <c r="F391" t="s">
        <v>35</v>
      </c>
      <c r="G391" t="s">
        <v>24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f t="shared" si="18"/>
        <v>3</v>
      </c>
      <c r="U391">
        <f t="shared" si="19"/>
        <v>0</v>
      </c>
      <c r="V391" t="b">
        <f t="shared" si="20"/>
        <v>0</v>
      </c>
    </row>
    <row r="392" spans="1:22" x14ac:dyDescent="0.3">
      <c r="A392" t="s">
        <v>957</v>
      </c>
      <c r="B392">
        <v>2024</v>
      </c>
      <c r="C392" t="s">
        <v>53</v>
      </c>
      <c r="D392" t="s">
        <v>29</v>
      </c>
      <c r="E392" t="s">
        <v>958</v>
      </c>
      <c r="F392" t="s">
        <v>31</v>
      </c>
      <c r="G392" t="s">
        <v>24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f t="shared" si="18"/>
        <v>2</v>
      </c>
      <c r="U392">
        <f t="shared" si="19"/>
        <v>0</v>
      </c>
      <c r="V392" t="b">
        <f t="shared" si="20"/>
        <v>0</v>
      </c>
    </row>
    <row r="393" spans="1:22" x14ac:dyDescent="0.3">
      <c r="A393" t="s">
        <v>959</v>
      </c>
      <c r="B393">
        <v>2024</v>
      </c>
      <c r="C393" t="s">
        <v>28</v>
      </c>
      <c r="D393" t="s">
        <v>29</v>
      </c>
      <c r="E393" t="s">
        <v>960</v>
      </c>
      <c r="F393" t="s">
        <v>31</v>
      </c>
      <c r="G393" t="s">
        <v>24</v>
      </c>
      <c r="H393">
        <v>1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f t="shared" si="18"/>
        <v>3</v>
      </c>
      <c r="U393">
        <f t="shared" si="19"/>
        <v>0</v>
      </c>
      <c r="V393" t="b">
        <f t="shared" si="20"/>
        <v>0</v>
      </c>
    </row>
    <row r="394" spans="1:22" x14ac:dyDescent="0.3">
      <c r="A394" t="s">
        <v>961</v>
      </c>
      <c r="B394">
        <v>2024</v>
      </c>
      <c r="C394" t="s">
        <v>838</v>
      </c>
      <c r="D394" t="s">
        <v>21</v>
      </c>
      <c r="E394" t="s">
        <v>962</v>
      </c>
      <c r="F394" t="s">
        <v>35</v>
      </c>
      <c r="G394" t="s">
        <v>24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f t="shared" si="18"/>
        <v>3</v>
      </c>
      <c r="U394">
        <f t="shared" si="19"/>
        <v>0</v>
      </c>
      <c r="V394" t="b">
        <f t="shared" si="20"/>
        <v>0</v>
      </c>
    </row>
    <row r="395" spans="1:22" x14ac:dyDescent="0.3">
      <c r="A395" t="s">
        <v>963</v>
      </c>
      <c r="B395">
        <v>2024</v>
      </c>
      <c r="C395" t="s">
        <v>964</v>
      </c>
      <c r="D395" t="s">
        <v>21</v>
      </c>
      <c r="E395" t="s">
        <v>965</v>
      </c>
      <c r="F395" t="s">
        <v>35</v>
      </c>
      <c r="G395" t="s">
        <v>24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f t="shared" si="18"/>
        <v>2</v>
      </c>
      <c r="U395">
        <f t="shared" si="19"/>
        <v>0</v>
      </c>
      <c r="V395" t="b">
        <f t="shared" si="20"/>
        <v>0</v>
      </c>
    </row>
    <row r="396" spans="1:22" x14ac:dyDescent="0.3">
      <c r="A396" t="s">
        <v>966</v>
      </c>
      <c r="B396">
        <v>2024</v>
      </c>
      <c r="C396" t="s">
        <v>967</v>
      </c>
      <c r="D396" t="s">
        <v>21</v>
      </c>
      <c r="E396" t="s">
        <v>968</v>
      </c>
      <c r="F396" t="s">
        <v>35</v>
      </c>
      <c r="G396" t="s">
        <v>24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f t="shared" si="18"/>
        <v>2</v>
      </c>
      <c r="U396">
        <f t="shared" si="19"/>
        <v>0</v>
      </c>
      <c r="V396" t="b">
        <f t="shared" si="20"/>
        <v>0</v>
      </c>
    </row>
    <row r="397" spans="1:22" x14ac:dyDescent="0.3">
      <c r="A397" t="s">
        <v>969</v>
      </c>
      <c r="B397">
        <v>2024</v>
      </c>
      <c r="C397" t="s">
        <v>970</v>
      </c>
      <c r="D397" t="s">
        <v>29</v>
      </c>
      <c r="E397" t="s">
        <v>971</v>
      </c>
      <c r="F397" t="s">
        <v>39</v>
      </c>
      <c r="G397" t="s">
        <v>24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f t="shared" si="18"/>
        <v>2</v>
      </c>
      <c r="U397">
        <f t="shared" si="19"/>
        <v>0</v>
      </c>
      <c r="V397" t="b">
        <f t="shared" si="20"/>
        <v>0</v>
      </c>
    </row>
    <row r="398" spans="1:22" x14ac:dyDescent="0.3">
      <c r="A398" t="s">
        <v>972</v>
      </c>
      <c r="B398">
        <v>2024</v>
      </c>
      <c r="C398" t="s">
        <v>881</v>
      </c>
      <c r="D398" t="s">
        <v>21</v>
      </c>
      <c r="E398" t="s">
        <v>973</v>
      </c>
      <c r="F398" t="s">
        <v>23</v>
      </c>
      <c r="G398" t="s">
        <v>24</v>
      </c>
      <c r="H398">
        <v>1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f t="shared" si="18"/>
        <v>3</v>
      </c>
      <c r="U398">
        <f t="shared" si="19"/>
        <v>0</v>
      </c>
      <c r="V398" t="b">
        <f t="shared" si="20"/>
        <v>0</v>
      </c>
    </row>
    <row r="399" spans="1:22" x14ac:dyDescent="0.3">
      <c r="A399" t="s">
        <v>974</v>
      </c>
      <c r="B399">
        <v>2024</v>
      </c>
      <c r="C399" t="s">
        <v>975</v>
      </c>
      <c r="D399" t="s">
        <v>21</v>
      </c>
      <c r="E399" t="s">
        <v>976</v>
      </c>
      <c r="F399" t="s">
        <v>35</v>
      </c>
      <c r="G399" t="s">
        <v>24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f t="shared" si="18"/>
        <v>2</v>
      </c>
      <c r="U399">
        <f t="shared" si="19"/>
        <v>0</v>
      </c>
      <c r="V399" t="b">
        <f t="shared" si="20"/>
        <v>0</v>
      </c>
    </row>
    <row r="400" spans="1:22" x14ac:dyDescent="0.3">
      <c r="A400" t="s">
        <v>977</v>
      </c>
      <c r="B400">
        <v>2024</v>
      </c>
      <c r="C400" t="s">
        <v>978</v>
      </c>
      <c r="D400" t="s">
        <v>21</v>
      </c>
      <c r="E400" t="s">
        <v>979</v>
      </c>
      <c r="F400" t="s">
        <v>23</v>
      </c>
      <c r="G400" t="s">
        <v>24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f t="shared" si="18"/>
        <v>3</v>
      </c>
      <c r="U400">
        <f t="shared" si="19"/>
        <v>1</v>
      </c>
      <c r="V400" t="b">
        <f t="shared" si="20"/>
        <v>0</v>
      </c>
    </row>
    <row r="401" spans="1:22" x14ac:dyDescent="0.3">
      <c r="A401" t="s">
        <v>980</v>
      </c>
      <c r="B401">
        <v>2024</v>
      </c>
      <c r="C401" t="s">
        <v>869</v>
      </c>
      <c r="D401" t="s">
        <v>21</v>
      </c>
      <c r="E401" t="s">
        <v>981</v>
      </c>
      <c r="F401" t="s">
        <v>23</v>
      </c>
      <c r="G401" t="s">
        <v>24</v>
      </c>
      <c r="H401">
        <v>1</v>
      </c>
      <c r="I401">
        <v>1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f t="shared" si="18"/>
        <v>5</v>
      </c>
      <c r="U401">
        <f t="shared" si="19"/>
        <v>0</v>
      </c>
      <c r="V401" t="b">
        <f t="shared" si="20"/>
        <v>1</v>
      </c>
    </row>
    <row r="402" spans="1:22" x14ac:dyDescent="0.3">
      <c r="A402" t="s">
        <v>982</v>
      </c>
      <c r="B402">
        <v>2024</v>
      </c>
      <c r="C402" t="s">
        <v>983</v>
      </c>
      <c r="D402" t="s">
        <v>21</v>
      </c>
      <c r="E402" t="s">
        <v>984</v>
      </c>
      <c r="F402" t="s">
        <v>35</v>
      </c>
      <c r="G402" t="s">
        <v>24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f t="shared" si="18"/>
        <v>2</v>
      </c>
      <c r="U402">
        <f t="shared" si="19"/>
        <v>0</v>
      </c>
      <c r="V402" t="b">
        <f t="shared" si="20"/>
        <v>0</v>
      </c>
    </row>
    <row r="403" spans="1:22" x14ac:dyDescent="0.3">
      <c r="A403" t="s">
        <v>985</v>
      </c>
      <c r="B403">
        <v>2024</v>
      </c>
      <c r="C403" t="s">
        <v>986</v>
      </c>
      <c r="D403" t="s">
        <v>323</v>
      </c>
      <c r="E403" t="s">
        <v>987</v>
      </c>
      <c r="F403" t="s">
        <v>35</v>
      </c>
      <c r="G403" t="s">
        <v>24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f t="shared" si="18"/>
        <v>2</v>
      </c>
      <c r="U403">
        <f t="shared" si="19"/>
        <v>0</v>
      </c>
      <c r="V403" t="b">
        <f t="shared" si="20"/>
        <v>0</v>
      </c>
    </row>
    <row r="404" spans="1:22" x14ac:dyDescent="0.3">
      <c r="A404" t="s">
        <v>988</v>
      </c>
      <c r="B404">
        <v>2024</v>
      </c>
      <c r="C404" t="s">
        <v>989</v>
      </c>
      <c r="D404" t="s">
        <v>21</v>
      </c>
      <c r="E404" t="s">
        <v>990</v>
      </c>
      <c r="F404" t="s">
        <v>35</v>
      </c>
      <c r="G404" t="s">
        <v>24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f t="shared" si="18"/>
        <v>2</v>
      </c>
      <c r="U404">
        <f t="shared" si="19"/>
        <v>0</v>
      </c>
      <c r="V404" t="b">
        <f t="shared" si="20"/>
        <v>0</v>
      </c>
    </row>
    <row r="405" spans="1:22" x14ac:dyDescent="0.3">
      <c r="A405" t="s">
        <v>991</v>
      </c>
      <c r="B405">
        <v>2024</v>
      </c>
      <c r="C405" t="s">
        <v>992</v>
      </c>
      <c r="D405" t="s">
        <v>21</v>
      </c>
      <c r="E405" t="s">
        <v>993</v>
      </c>
      <c r="F405" t="s">
        <v>994</v>
      </c>
      <c r="G405" t="s">
        <v>24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f t="shared" si="18"/>
        <v>2</v>
      </c>
      <c r="U405">
        <f t="shared" si="19"/>
        <v>0</v>
      </c>
      <c r="V405" t="b">
        <f t="shared" si="20"/>
        <v>0</v>
      </c>
    </row>
    <row r="406" spans="1:22" x14ac:dyDescent="0.3">
      <c r="A406" t="s">
        <v>995</v>
      </c>
      <c r="B406">
        <v>2024</v>
      </c>
      <c r="C406" t="s">
        <v>992</v>
      </c>
      <c r="D406" t="s">
        <v>21</v>
      </c>
      <c r="E406" t="s">
        <v>996</v>
      </c>
      <c r="F406" t="s">
        <v>994</v>
      </c>
      <c r="G406" t="s">
        <v>24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f t="shared" si="18"/>
        <v>2</v>
      </c>
      <c r="U406">
        <f t="shared" si="19"/>
        <v>0</v>
      </c>
      <c r="V406" t="b">
        <f t="shared" si="20"/>
        <v>0</v>
      </c>
    </row>
    <row r="407" spans="1:22" x14ac:dyDescent="0.3">
      <c r="A407" t="s">
        <v>997</v>
      </c>
      <c r="B407">
        <v>2024</v>
      </c>
      <c r="C407" t="s">
        <v>998</v>
      </c>
      <c r="D407" t="s">
        <v>21</v>
      </c>
      <c r="E407" t="s">
        <v>999</v>
      </c>
      <c r="F407" t="s">
        <v>23</v>
      </c>
      <c r="G407" t="s">
        <v>24</v>
      </c>
      <c r="H407">
        <v>1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f t="shared" si="18"/>
        <v>5</v>
      </c>
      <c r="U407">
        <f t="shared" si="19"/>
        <v>0</v>
      </c>
      <c r="V407" t="b">
        <f t="shared" si="20"/>
        <v>1</v>
      </c>
    </row>
    <row r="408" spans="1:22" x14ac:dyDescent="0.3">
      <c r="A408" t="s">
        <v>1000</v>
      </c>
      <c r="B408">
        <v>2024</v>
      </c>
      <c r="C408" t="s">
        <v>1001</v>
      </c>
      <c r="D408" t="s">
        <v>21</v>
      </c>
      <c r="E408" t="s">
        <v>1002</v>
      </c>
      <c r="F408" t="s">
        <v>23</v>
      </c>
      <c r="G408" t="s">
        <v>24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f t="shared" si="18"/>
        <v>3</v>
      </c>
      <c r="U408">
        <f t="shared" si="19"/>
        <v>1</v>
      </c>
      <c r="V408" t="b">
        <f t="shared" si="20"/>
        <v>0</v>
      </c>
    </row>
    <row r="409" spans="1:22" x14ac:dyDescent="0.3">
      <c r="A409" t="s">
        <v>1003</v>
      </c>
      <c r="B409">
        <v>2024</v>
      </c>
      <c r="C409" t="s">
        <v>133</v>
      </c>
      <c r="D409" t="s">
        <v>130</v>
      </c>
      <c r="E409" t="s">
        <v>1004</v>
      </c>
      <c r="F409" t="s">
        <v>39</v>
      </c>
      <c r="G409" t="s">
        <v>24</v>
      </c>
      <c r="H409">
        <v>1</v>
      </c>
      <c r="I409">
        <v>1</v>
      </c>
      <c r="J409">
        <v>0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f t="shared" si="18"/>
        <v>5</v>
      </c>
      <c r="U409">
        <f t="shared" si="19"/>
        <v>0</v>
      </c>
      <c r="V409" t="b">
        <f t="shared" si="20"/>
        <v>1</v>
      </c>
    </row>
    <row r="410" spans="1:22" x14ac:dyDescent="0.3">
      <c r="A410" t="s">
        <v>1005</v>
      </c>
      <c r="B410">
        <v>2024</v>
      </c>
      <c r="C410" t="s">
        <v>1006</v>
      </c>
      <c r="D410" t="s">
        <v>21</v>
      </c>
      <c r="E410" t="s">
        <v>1007</v>
      </c>
      <c r="F410" t="s">
        <v>23</v>
      </c>
      <c r="G410" t="s">
        <v>24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f t="shared" si="18"/>
        <v>3</v>
      </c>
      <c r="U410">
        <f t="shared" si="19"/>
        <v>1</v>
      </c>
      <c r="V410" t="b">
        <f t="shared" si="20"/>
        <v>0</v>
      </c>
    </row>
    <row r="411" spans="1:22" x14ac:dyDescent="0.3">
      <c r="A411" t="s">
        <v>1008</v>
      </c>
      <c r="B411">
        <v>2024</v>
      </c>
      <c r="C411" t="s">
        <v>1009</v>
      </c>
      <c r="D411" t="s">
        <v>21</v>
      </c>
      <c r="E411" t="s">
        <v>1010</v>
      </c>
      <c r="F411" t="s">
        <v>23</v>
      </c>
      <c r="G411" t="s">
        <v>24</v>
      </c>
      <c r="H411">
        <v>1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f t="shared" si="18"/>
        <v>5</v>
      </c>
      <c r="U411">
        <f t="shared" si="19"/>
        <v>0</v>
      </c>
      <c r="V411" t="b">
        <f t="shared" si="20"/>
        <v>1</v>
      </c>
    </row>
    <row r="412" spans="1:22" x14ac:dyDescent="0.3">
      <c r="A412" t="s">
        <v>1011</v>
      </c>
      <c r="B412">
        <v>2024</v>
      </c>
      <c r="C412" t="s">
        <v>1012</v>
      </c>
      <c r="D412" t="s">
        <v>21</v>
      </c>
      <c r="E412" t="s">
        <v>1013</v>
      </c>
      <c r="F412" t="s">
        <v>23</v>
      </c>
      <c r="G412" t="s">
        <v>24</v>
      </c>
      <c r="H412">
        <v>1</v>
      </c>
      <c r="I412">
        <v>0</v>
      </c>
      <c r="J412">
        <v>1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f t="shared" si="18"/>
        <v>4</v>
      </c>
      <c r="U412">
        <f t="shared" si="19"/>
        <v>0</v>
      </c>
      <c r="V412" t="b">
        <f t="shared" si="20"/>
        <v>0</v>
      </c>
    </row>
    <row r="413" spans="1:22" x14ac:dyDescent="0.3">
      <c r="A413" t="s">
        <v>1014</v>
      </c>
      <c r="B413">
        <v>2024</v>
      </c>
      <c r="C413" t="s">
        <v>1012</v>
      </c>
      <c r="D413" t="s">
        <v>21</v>
      </c>
      <c r="E413" t="s">
        <v>1015</v>
      </c>
      <c r="F413" t="s">
        <v>23</v>
      </c>
      <c r="G413" t="s">
        <v>24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f t="shared" si="18"/>
        <v>3</v>
      </c>
      <c r="U413">
        <f t="shared" si="19"/>
        <v>1</v>
      </c>
      <c r="V413" t="b">
        <f t="shared" si="20"/>
        <v>0</v>
      </c>
    </row>
    <row r="414" spans="1:22" x14ac:dyDescent="0.3">
      <c r="A414" t="s">
        <v>1016</v>
      </c>
      <c r="B414">
        <v>2024</v>
      </c>
      <c r="C414" t="s">
        <v>674</v>
      </c>
      <c r="D414" t="s">
        <v>29</v>
      </c>
      <c r="E414" t="s">
        <v>1017</v>
      </c>
      <c r="F414" t="s">
        <v>31</v>
      </c>
      <c r="G414" t="s">
        <v>24</v>
      </c>
      <c r="H414">
        <v>1</v>
      </c>
      <c r="I414">
        <v>0</v>
      </c>
      <c r="J414">
        <v>1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f t="shared" si="18"/>
        <v>4</v>
      </c>
      <c r="U414">
        <f t="shared" si="19"/>
        <v>0</v>
      </c>
      <c r="V414" t="b">
        <f t="shared" si="20"/>
        <v>0</v>
      </c>
    </row>
    <row r="415" spans="1:22" x14ac:dyDescent="0.3">
      <c r="A415" t="s">
        <v>1018</v>
      </c>
      <c r="B415">
        <v>2024</v>
      </c>
      <c r="C415" t="s">
        <v>1019</v>
      </c>
      <c r="D415" t="s">
        <v>21</v>
      </c>
      <c r="E415" t="s">
        <v>1020</v>
      </c>
      <c r="F415" t="s">
        <v>23</v>
      </c>
      <c r="G415" t="s">
        <v>24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f t="shared" si="18"/>
        <v>6</v>
      </c>
      <c r="U415">
        <f t="shared" si="19"/>
        <v>0</v>
      </c>
      <c r="V415" t="b">
        <f t="shared" si="20"/>
        <v>1</v>
      </c>
    </row>
    <row r="416" spans="1:22" x14ac:dyDescent="0.3">
      <c r="A416" t="s">
        <v>1021</v>
      </c>
      <c r="B416">
        <v>2024</v>
      </c>
      <c r="C416" t="s">
        <v>1022</v>
      </c>
      <c r="D416" t="s">
        <v>21</v>
      </c>
      <c r="E416" t="s">
        <v>1023</v>
      </c>
      <c r="F416" t="s">
        <v>23</v>
      </c>
      <c r="G416" t="s">
        <v>24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  <c r="T416">
        <f t="shared" si="18"/>
        <v>4</v>
      </c>
      <c r="U416">
        <f t="shared" si="19"/>
        <v>1</v>
      </c>
      <c r="V416" t="b">
        <f t="shared" si="20"/>
        <v>0</v>
      </c>
    </row>
    <row r="417" spans="1:22" x14ac:dyDescent="0.3">
      <c r="A417" t="s">
        <v>1024</v>
      </c>
      <c r="B417">
        <v>2024</v>
      </c>
      <c r="C417" t="s">
        <v>1025</v>
      </c>
      <c r="D417" t="s">
        <v>21</v>
      </c>
      <c r="E417" t="s">
        <v>1026</v>
      </c>
      <c r="F417" t="s">
        <v>23</v>
      </c>
      <c r="G417" t="s">
        <v>24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f t="shared" si="18"/>
        <v>2</v>
      </c>
      <c r="U417">
        <f t="shared" si="19"/>
        <v>0</v>
      </c>
      <c r="V417" t="b">
        <f t="shared" si="20"/>
        <v>0</v>
      </c>
    </row>
    <row r="418" spans="1:22" x14ac:dyDescent="0.3">
      <c r="A418" t="s">
        <v>1027</v>
      </c>
      <c r="B418">
        <v>2024</v>
      </c>
      <c r="C418" t="s">
        <v>129</v>
      </c>
      <c r="D418" t="s">
        <v>130</v>
      </c>
      <c r="E418" t="s">
        <v>1028</v>
      </c>
      <c r="F418" t="s">
        <v>39</v>
      </c>
      <c r="G418" t="s">
        <v>24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f t="shared" si="18"/>
        <v>6</v>
      </c>
      <c r="U418">
        <f t="shared" si="19"/>
        <v>0</v>
      </c>
      <c r="V418" t="b">
        <f t="shared" si="20"/>
        <v>1</v>
      </c>
    </row>
    <row r="419" spans="1:22" x14ac:dyDescent="0.3">
      <c r="A419" t="s">
        <v>1029</v>
      </c>
      <c r="B419">
        <v>2024</v>
      </c>
      <c r="C419" t="s">
        <v>1030</v>
      </c>
      <c r="D419" t="s">
        <v>29</v>
      </c>
      <c r="E419" t="s">
        <v>1031</v>
      </c>
      <c r="F419" t="s">
        <v>39</v>
      </c>
      <c r="G419" t="s">
        <v>24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f t="shared" si="18"/>
        <v>2</v>
      </c>
      <c r="U419">
        <f t="shared" si="19"/>
        <v>0</v>
      </c>
      <c r="V419" t="b">
        <f t="shared" si="20"/>
        <v>0</v>
      </c>
    </row>
    <row r="420" spans="1:22" x14ac:dyDescent="0.3">
      <c r="A420" t="s">
        <v>1032</v>
      </c>
      <c r="B420">
        <v>2024</v>
      </c>
      <c r="C420" t="s">
        <v>1033</v>
      </c>
      <c r="D420" t="s">
        <v>21</v>
      </c>
      <c r="E420" t="s">
        <v>1034</v>
      </c>
      <c r="F420" t="s">
        <v>23</v>
      </c>
      <c r="G420" t="s">
        <v>24</v>
      </c>
      <c r="H420">
        <v>1</v>
      </c>
      <c r="I420">
        <v>1</v>
      </c>
      <c r="J420">
        <v>0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f t="shared" si="18"/>
        <v>5</v>
      </c>
      <c r="U420">
        <f t="shared" si="19"/>
        <v>0</v>
      </c>
      <c r="V420" t="b">
        <f t="shared" si="20"/>
        <v>1</v>
      </c>
    </row>
    <row r="421" spans="1:22" x14ac:dyDescent="0.3">
      <c r="A421" t="s">
        <v>1035</v>
      </c>
      <c r="B421">
        <v>2024</v>
      </c>
      <c r="C421" t="s">
        <v>133</v>
      </c>
      <c r="D421" t="s">
        <v>29</v>
      </c>
      <c r="E421" t="s">
        <v>1036</v>
      </c>
      <c r="F421" t="s">
        <v>39</v>
      </c>
      <c r="G421" t="s">
        <v>24</v>
      </c>
      <c r="H421">
        <v>1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f t="shared" si="18"/>
        <v>3</v>
      </c>
      <c r="U421">
        <f t="shared" si="19"/>
        <v>0</v>
      </c>
      <c r="V421" t="b">
        <f t="shared" si="20"/>
        <v>0</v>
      </c>
    </row>
    <row r="422" spans="1:22" x14ac:dyDescent="0.3">
      <c r="A422" t="s">
        <v>1037</v>
      </c>
      <c r="B422">
        <v>2024</v>
      </c>
      <c r="C422" t="s">
        <v>1038</v>
      </c>
      <c r="D422" t="s">
        <v>21</v>
      </c>
      <c r="E422" t="s">
        <v>1039</v>
      </c>
      <c r="F422" t="s">
        <v>23</v>
      </c>
      <c r="G422" t="s">
        <v>24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f t="shared" si="18"/>
        <v>3</v>
      </c>
      <c r="U422">
        <f t="shared" si="19"/>
        <v>0</v>
      </c>
      <c r="V422" t="b">
        <f t="shared" si="20"/>
        <v>0</v>
      </c>
    </row>
    <row r="423" spans="1:22" x14ac:dyDescent="0.3">
      <c r="A423" t="s">
        <v>1040</v>
      </c>
      <c r="B423">
        <v>2024</v>
      </c>
      <c r="C423" t="s">
        <v>1041</v>
      </c>
      <c r="D423" t="s">
        <v>323</v>
      </c>
      <c r="E423" t="s">
        <v>1042</v>
      </c>
      <c r="F423" t="s">
        <v>23</v>
      </c>
      <c r="G423" t="s">
        <v>24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f t="shared" si="18"/>
        <v>2</v>
      </c>
      <c r="U423">
        <f t="shared" si="19"/>
        <v>0</v>
      </c>
      <c r="V423" t="b">
        <f t="shared" si="20"/>
        <v>0</v>
      </c>
    </row>
    <row r="424" spans="1:22" x14ac:dyDescent="0.3">
      <c r="A424" t="s">
        <v>1043</v>
      </c>
      <c r="B424">
        <v>2024</v>
      </c>
      <c r="C424" t="s">
        <v>1044</v>
      </c>
      <c r="D424" t="s">
        <v>130</v>
      </c>
      <c r="E424" t="s">
        <v>1045</v>
      </c>
      <c r="F424" t="s">
        <v>39</v>
      </c>
      <c r="G424" t="s">
        <v>24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f t="shared" si="18"/>
        <v>6</v>
      </c>
      <c r="U424">
        <f t="shared" si="19"/>
        <v>0</v>
      </c>
      <c r="V424" t="b">
        <f t="shared" si="20"/>
        <v>1</v>
      </c>
    </row>
    <row r="425" spans="1:22" x14ac:dyDescent="0.3">
      <c r="A425" t="s">
        <v>1046</v>
      </c>
      <c r="B425">
        <v>2024</v>
      </c>
      <c r="C425" t="s">
        <v>133</v>
      </c>
      <c r="D425" t="s">
        <v>29</v>
      </c>
      <c r="E425" t="s">
        <v>1047</v>
      </c>
      <c r="F425" t="s">
        <v>39</v>
      </c>
      <c r="G425" t="s">
        <v>24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f t="shared" si="18"/>
        <v>3</v>
      </c>
      <c r="U425">
        <f t="shared" si="19"/>
        <v>0</v>
      </c>
      <c r="V425" t="b">
        <f t="shared" si="20"/>
        <v>0</v>
      </c>
    </row>
    <row r="426" spans="1:22" x14ac:dyDescent="0.3">
      <c r="A426" t="s">
        <v>1048</v>
      </c>
      <c r="B426">
        <v>2024</v>
      </c>
      <c r="C426" t="s">
        <v>133</v>
      </c>
      <c r="D426" t="s">
        <v>29</v>
      </c>
      <c r="E426" t="s">
        <v>1049</v>
      </c>
      <c r="F426" t="s">
        <v>39</v>
      </c>
      <c r="G426" t="s">
        <v>24</v>
      </c>
      <c r="H426">
        <v>1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f t="shared" si="18"/>
        <v>3</v>
      </c>
      <c r="U426">
        <f t="shared" si="19"/>
        <v>0</v>
      </c>
      <c r="V426" t="b">
        <f t="shared" si="20"/>
        <v>0</v>
      </c>
    </row>
    <row r="427" spans="1:22" x14ac:dyDescent="0.3">
      <c r="A427" t="s">
        <v>1050</v>
      </c>
      <c r="B427">
        <v>2024</v>
      </c>
      <c r="C427" t="s">
        <v>133</v>
      </c>
      <c r="D427" t="s">
        <v>29</v>
      </c>
      <c r="E427" t="s">
        <v>1051</v>
      </c>
      <c r="F427" t="s">
        <v>39</v>
      </c>
      <c r="G427" t="s">
        <v>24</v>
      </c>
      <c r="H427">
        <v>1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f t="shared" si="18"/>
        <v>3</v>
      </c>
      <c r="U427">
        <f t="shared" si="19"/>
        <v>0</v>
      </c>
      <c r="V427" t="b">
        <f t="shared" si="20"/>
        <v>0</v>
      </c>
    </row>
    <row r="428" spans="1:22" x14ac:dyDescent="0.3">
      <c r="A428" t="s">
        <v>1052</v>
      </c>
      <c r="B428">
        <v>2024</v>
      </c>
      <c r="C428" t="s">
        <v>129</v>
      </c>
      <c r="D428" t="s">
        <v>130</v>
      </c>
      <c r="E428" t="s">
        <v>1053</v>
      </c>
      <c r="F428" t="s">
        <v>39</v>
      </c>
      <c r="G428" t="s">
        <v>24</v>
      </c>
      <c r="H428">
        <v>0</v>
      </c>
      <c r="I428">
        <v>0</v>
      </c>
      <c r="J428">
        <v>1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f t="shared" si="18"/>
        <v>3</v>
      </c>
      <c r="U428">
        <f t="shared" si="19"/>
        <v>0</v>
      </c>
      <c r="V428" t="b">
        <f t="shared" si="20"/>
        <v>0</v>
      </c>
    </row>
    <row r="429" spans="1:22" x14ac:dyDescent="0.3">
      <c r="A429" t="s">
        <v>1054</v>
      </c>
      <c r="B429">
        <v>2024</v>
      </c>
      <c r="C429" t="s">
        <v>133</v>
      </c>
      <c r="D429" t="s">
        <v>29</v>
      </c>
      <c r="E429" t="s">
        <v>1055</v>
      </c>
      <c r="F429" t="s">
        <v>39</v>
      </c>
      <c r="G429" t="s">
        <v>24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f t="shared" si="18"/>
        <v>3</v>
      </c>
      <c r="U429">
        <f t="shared" si="19"/>
        <v>0</v>
      </c>
      <c r="V429" t="b">
        <f t="shared" si="20"/>
        <v>0</v>
      </c>
    </row>
    <row r="430" spans="1:22" x14ac:dyDescent="0.3">
      <c r="A430" t="s">
        <v>1056</v>
      </c>
      <c r="B430">
        <v>2024</v>
      </c>
      <c r="C430" t="s">
        <v>133</v>
      </c>
      <c r="D430" t="s">
        <v>29</v>
      </c>
      <c r="E430" t="s">
        <v>1057</v>
      </c>
      <c r="F430" t="s">
        <v>39</v>
      </c>
      <c r="G430" t="s">
        <v>24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f t="shared" si="18"/>
        <v>4</v>
      </c>
      <c r="U430">
        <f t="shared" si="19"/>
        <v>0</v>
      </c>
      <c r="V430" t="b">
        <f t="shared" si="20"/>
        <v>0</v>
      </c>
    </row>
    <row r="431" spans="1:22" x14ac:dyDescent="0.3">
      <c r="A431" t="s">
        <v>1058</v>
      </c>
      <c r="B431">
        <v>2024</v>
      </c>
      <c r="C431" t="s">
        <v>129</v>
      </c>
      <c r="D431" t="s">
        <v>29</v>
      </c>
      <c r="E431" t="s">
        <v>1059</v>
      </c>
      <c r="F431" t="s">
        <v>39</v>
      </c>
      <c r="G431" t="s">
        <v>24</v>
      </c>
      <c r="H431">
        <v>1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f t="shared" si="18"/>
        <v>3</v>
      </c>
      <c r="U431">
        <f t="shared" si="19"/>
        <v>0</v>
      </c>
      <c r="V431" t="b">
        <f t="shared" si="20"/>
        <v>0</v>
      </c>
    </row>
    <row r="432" spans="1:22" x14ac:dyDescent="0.3">
      <c r="A432" t="s">
        <v>1060</v>
      </c>
      <c r="B432">
        <v>2024</v>
      </c>
      <c r="C432" t="s">
        <v>133</v>
      </c>
      <c r="D432" t="s">
        <v>29</v>
      </c>
      <c r="E432" t="s">
        <v>1061</v>
      </c>
      <c r="F432" t="s">
        <v>39</v>
      </c>
      <c r="G432" t="s">
        <v>24</v>
      </c>
      <c r="H432">
        <v>1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f t="shared" si="18"/>
        <v>3</v>
      </c>
      <c r="U432">
        <f t="shared" si="19"/>
        <v>0</v>
      </c>
      <c r="V432" t="b">
        <f t="shared" si="20"/>
        <v>0</v>
      </c>
    </row>
    <row r="433" spans="1:22" x14ac:dyDescent="0.3">
      <c r="A433" t="s">
        <v>1062</v>
      </c>
      <c r="B433">
        <v>2024</v>
      </c>
      <c r="C433" t="s">
        <v>133</v>
      </c>
      <c r="D433" t="s">
        <v>29</v>
      </c>
      <c r="E433" t="s">
        <v>1063</v>
      </c>
      <c r="F433" t="s">
        <v>39</v>
      </c>
      <c r="G433" t="s">
        <v>24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f t="shared" si="18"/>
        <v>3</v>
      </c>
      <c r="U433">
        <f t="shared" si="19"/>
        <v>0</v>
      </c>
      <c r="V433" t="b">
        <f t="shared" si="20"/>
        <v>0</v>
      </c>
    </row>
    <row r="434" spans="1:22" x14ac:dyDescent="0.3">
      <c r="A434" t="s">
        <v>1064</v>
      </c>
      <c r="B434">
        <v>2024</v>
      </c>
      <c r="C434" t="s">
        <v>129</v>
      </c>
      <c r="D434" t="s">
        <v>29</v>
      </c>
      <c r="E434" t="s">
        <v>1065</v>
      </c>
      <c r="F434" t="s">
        <v>39</v>
      </c>
      <c r="G434" t="s">
        <v>24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f t="shared" si="18"/>
        <v>2</v>
      </c>
      <c r="U434">
        <f t="shared" si="19"/>
        <v>0</v>
      </c>
      <c r="V434" t="b">
        <f t="shared" si="20"/>
        <v>0</v>
      </c>
    </row>
    <row r="435" spans="1:22" x14ac:dyDescent="0.3">
      <c r="A435" t="s">
        <v>1066</v>
      </c>
      <c r="B435">
        <v>2024</v>
      </c>
      <c r="C435" t="s">
        <v>129</v>
      </c>
      <c r="D435" t="s">
        <v>29</v>
      </c>
      <c r="E435" t="s">
        <v>1067</v>
      </c>
      <c r="F435" t="s">
        <v>39</v>
      </c>
      <c r="G435" t="s">
        <v>24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f t="shared" si="18"/>
        <v>2</v>
      </c>
      <c r="U435">
        <f t="shared" si="19"/>
        <v>0</v>
      </c>
      <c r="V435" t="b">
        <f t="shared" si="20"/>
        <v>0</v>
      </c>
    </row>
    <row r="436" spans="1:22" x14ac:dyDescent="0.3">
      <c r="A436" t="s">
        <v>1068</v>
      </c>
      <c r="B436">
        <v>2024</v>
      </c>
      <c r="C436" t="s">
        <v>133</v>
      </c>
      <c r="D436" t="s">
        <v>29</v>
      </c>
      <c r="E436" t="s">
        <v>1069</v>
      </c>
      <c r="F436" t="s">
        <v>39</v>
      </c>
      <c r="G436" t="s">
        <v>24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f t="shared" si="18"/>
        <v>3</v>
      </c>
      <c r="U436">
        <f t="shared" si="19"/>
        <v>0</v>
      </c>
      <c r="V436" t="b">
        <f t="shared" si="20"/>
        <v>0</v>
      </c>
    </row>
    <row r="437" spans="1:22" x14ac:dyDescent="0.3">
      <c r="A437" t="s">
        <v>1070</v>
      </c>
      <c r="B437">
        <v>2024</v>
      </c>
      <c r="C437" t="s">
        <v>1071</v>
      </c>
      <c r="D437" t="s">
        <v>29</v>
      </c>
      <c r="E437" t="s">
        <v>1072</v>
      </c>
      <c r="F437" t="s">
        <v>39</v>
      </c>
      <c r="G437" t="s">
        <v>24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f t="shared" si="18"/>
        <v>3</v>
      </c>
      <c r="U437">
        <f t="shared" si="19"/>
        <v>0</v>
      </c>
      <c r="V437" t="b">
        <f t="shared" si="20"/>
        <v>0</v>
      </c>
    </row>
    <row r="438" spans="1:22" x14ac:dyDescent="0.3">
      <c r="A438" t="s">
        <v>1073</v>
      </c>
      <c r="B438">
        <v>2024</v>
      </c>
      <c r="C438" t="s">
        <v>1074</v>
      </c>
      <c r="D438" t="s">
        <v>172</v>
      </c>
      <c r="E438" t="s">
        <v>1075</v>
      </c>
      <c r="F438" t="s">
        <v>31</v>
      </c>
      <c r="G438" t="s">
        <v>24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f t="shared" si="18"/>
        <v>3</v>
      </c>
      <c r="U438">
        <f t="shared" si="19"/>
        <v>0</v>
      </c>
      <c r="V438" t="b">
        <f t="shared" si="20"/>
        <v>0</v>
      </c>
    </row>
    <row r="439" spans="1:22" x14ac:dyDescent="0.3">
      <c r="A439" t="s">
        <v>1076</v>
      </c>
      <c r="B439">
        <v>2024</v>
      </c>
      <c r="C439" t="s">
        <v>1077</v>
      </c>
      <c r="D439" t="s">
        <v>130</v>
      </c>
      <c r="E439" t="s">
        <v>1078</v>
      </c>
      <c r="F439" t="s">
        <v>31</v>
      </c>
      <c r="G439" t="s">
        <v>24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f t="shared" si="18"/>
        <v>3</v>
      </c>
      <c r="U439">
        <f t="shared" si="19"/>
        <v>1</v>
      </c>
      <c r="V439" t="b">
        <f t="shared" si="20"/>
        <v>0</v>
      </c>
    </row>
    <row r="440" spans="1:22" x14ac:dyDescent="0.3">
      <c r="A440" t="s">
        <v>1079</v>
      </c>
      <c r="B440">
        <v>2024</v>
      </c>
      <c r="C440" t="s">
        <v>671</v>
      </c>
      <c r="D440" t="s">
        <v>130</v>
      </c>
      <c r="E440" t="s">
        <v>1080</v>
      </c>
      <c r="F440" t="s">
        <v>31</v>
      </c>
      <c r="G440" t="s">
        <v>24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f t="shared" si="18"/>
        <v>3</v>
      </c>
      <c r="U440">
        <f t="shared" si="19"/>
        <v>1</v>
      </c>
      <c r="V440" t="b">
        <f t="shared" si="20"/>
        <v>0</v>
      </c>
    </row>
    <row r="441" spans="1:22" x14ac:dyDescent="0.3">
      <c r="A441" t="s">
        <v>1081</v>
      </c>
      <c r="B441">
        <v>2024</v>
      </c>
      <c r="C441" t="s">
        <v>1082</v>
      </c>
      <c r="D441" t="s">
        <v>130</v>
      </c>
      <c r="E441" t="s">
        <v>1083</v>
      </c>
      <c r="F441" t="s">
        <v>31</v>
      </c>
      <c r="G441" t="s">
        <v>24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f t="shared" si="18"/>
        <v>6</v>
      </c>
      <c r="U441">
        <f t="shared" si="19"/>
        <v>0</v>
      </c>
      <c r="V441" t="b">
        <f t="shared" si="20"/>
        <v>1</v>
      </c>
    </row>
    <row r="442" spans="1:22" x14ac:dyDescent="0.3">
      <c r="A442" t="s">
        <v>1084</v>
      </c>
      <c r="B442">
        <v>2024</v>
      </c>
      <c r="C442" t="s">
        <v>1085</v>
      </c>
      <c r="D442" t="s">
        <v>130</v>
      </c>
      <c r="E442" t="s">
        <v>1086</v>
      </c>
      <c r="F442" t="s">
        <v>31</v>
      </c>
      <c r="G442" t="s">
        <v>24</v>
      </c>
      <c r="H442">
        <v>1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f t="shared" si="18"/>
        <v>3</v>
      </c>
      <c r="U442">
        <f t="shared" si="19"/>
        <v>0</v>
      </c>
      <c r="V442" t="b">
        <f t="shared" si="20"/>
        <v>0</v>
      </c>
    </row>
    <row r="443" spans="1:22" x14ac:dyDescent="0.3">
      <c r="A443" t="s">
        <v>1087</v>
      </c>
      <c r="B443">
        <v>2024</v>
      </c>
      <c r="C443" t="s">
        <v>1088</v>
      </c>
      <c r="D443" t="s">
        <v>323</v>
      </c>
      <c r="E443" t="s">
        <v>1089</v>
      </c>
      <c r="F443" t="s">
        <v>23</v>
      </c>
      <c r="G443" t="s">
        <v>24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f t="shared" si="18"/>
        <v>2</v>
      </c>
      <c r="U443">
        <f t="shared" si="19"/>
        <v>0</v>
      </c>
      <c r="V443" t="b">
        <f t="shared" si="20"/>
        <v>0</v>
      </c>
    </row>
    <row r="444" spans="1:22" x14ac:dyDescent="0.3">
      <c r="A444" t="s">
        <v>1090</v>
      </c>
      <c r="B444">
        <v>2024</v>
      </c>
      <c r="C444" t="s">
        <v>1085</v>
      </c>
      <c r="D444" t="s">
        <v>130</v>
      </c>
      <c r="E444" t="s">
        <v>1091</v>
      </c>
      <c r="F444" t="s">
        <v>31</v>
      </c>
      <c r="G444" t="s">
        <v>24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  <c r="T444">
        <f t="shared" si="18"/>
        <v>4</v>
      </c>
      <c r="U444">
        <f t="shared" si="19"/>
        <v>1</v>
      </c>
      <c r="V444" t="b">
        <f t="shared" si="20"/>
        <v>0</v>
      </c>
    </row>
    <row r="445" spans="1:22" x14ac:dyDescent="0.3">
      <c r="A445" t="s">
        <v>1092</v>
      </c>
      <c r="B445">
        <v>2024</v>
      </c>
      <c r="C445" t="s">
        <v>1082</v>
      </c>
      <c r="D445" t="s">
        <v>130</v>
      </c>
      <c r="E445" t="s">
        <v>1093</v>
      </c>
      <c r="F445" t="s">
        <v>31</v>
      </c>
      <c r="G445" t="s">
        <v>24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f t="shared" si="18"/>
        <v>3</v>
      </c>
      <c r="U445">
        <f t="shared" si="19"/>
        <v>0</v>
      </c>
      <c r="V445" t="b">
        <f t="shared" si="20"/>
        <v>0</v>
      </c>
    </row>
    <row r="446" spans="1:22" x14ac:dyDescent="0.3">
      <c r="A446" t="s">
        <v>1094</v>
      </c>
      <c r="B446">
        <v>2024</v>
      </c>
      <c r="C446" t="s">
        <v>1082</v>
      </c>
      <c r="D446" t="s">
        <v>130</v>
      </c>
      <c r="E446" t="s">
        <v>1095</v>
      </c>
      <c r="F446" t="s">
        <v>31</v>
      </c>
      <c r="G446" t="s">
        <v>24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f t="shared" si="18"/>
        <v>2</v>
      </c>
      <c r="U446">
        <f t="shared" si="19"/>
        <v>0</v>
      </c>
      <c r="V446" t="b">
        <f t="shared" si="20"/>
        <v>0</v>
      </c>
    </row>
    <row r="447" spans="1:22" x14ac:dyDescent="0.3">
      <c r="A447" t="s">
        <v>1096</v>
      </c>
      <c r="B447">
        <v>2024</v>
      </c>
      <c r="C447" t="s">
        <v>418</v>
      </c>
      <c r="D447" t="s">
        <v>130</v>
      </c>
      <c r="E447" t="s">
        <v>1097</v>
      </c>
      <c r="F447" t="s">
        <v>31</v>
      </c>
      <c r="G447" t="s">
        <v>24</v>
      </c>
      <c r="H447">
        <v>1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f t="shared" si="18"/>
        <v>3</v>
      </c>
      <c r="U447">
        <f t="shared" si="19"/>
        <v>0</v>
      </c>
      <c r="V447" t="b">
        <f t="shared" si="20"/>
        <v>0</v>
      </c>
    </row>
    <row r="448" spans="1:22" x14ac:dyDescent="0.3">
      <c r="A448" t="s">
        <v>1098</v>
      </c>
      <c r="B448">
        <v>2024</v>
      </c>
      <c r="C448" t="s">
        <v>418</v>
      </c>
      <c r="D448" t="s">
        <v>130</v>
      </c>
      <c r="E448" t="s">
        <v>1099</v>
      </c>
      <c r="F448" t="s">
        <v>31</v>
      </c>
      <c r="G448" t="s">
        <v>24</v>
      </c>
      <c r="H448">
        <v>1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f t="shared" si="18"/>
        <v>3</v>
      </c>
      <c r="U448">
        <f t="shared" si="19"/>
        <v>0</v>
      </c>
      <c r="V448" t="b">
        <f t="shared" si="20"/>
        <v>0</v>
      </c>
    </row>
    <row r="449" spans="1:22" x14ac:dyDescent="0.3">
      <c r="A449" t="s">
        <v>1100</v>
      </c>
      <c r="B449">
        <v>2024</v>
      </c>
      <c r="C449" t="s">
        <v>1101</v>
      </c>
      <c r="D449" t="s">
        <v>323</v>
      </c>
      <c r="E449" t="s">
        <v>1102</v>
      </c>
      <c r="F449" t="s">
        <v>23</v>
      </c>
      <c r="G449" t="s">
        <v>24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f t="shared" si="18"/>
        <v>2</v>
      </c>
      <c r="U449">
        <f t="shared" si="19"/>
        <v>0</v>
      </c>
      <c r="V449" t="b">
        <f t="shared" si="20"/>
        <v>0</v>
      </c>
    </row>
    <row r="450" spans="1:22" x14ac:dyDescent="0.3">
      <c r="A450" t="s">
        <v>1103</v>
      </c>
      <c r="B450">
        <v>2024</v>
      </c>
      <c r="C450" t="s">
        <v>1104</v>
      </c>
      <c r="D450" t="s">
        <v>29</v>
      </c>
      <c r="E450" t="s">
        <v>1105</v>
      </c>
      <c r="F450" t="s">
        <v>31</v>
      </c>
      <c r="G450" t="s">
        <v>24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f t="shared" si="18"/>
        <v>3</v>
      </c>
      <c r="U450">
        <f t="shared" si="19"/>
        <v>1</v>
      </c>
      <c r="V450" t="b">
        <f t="shared" si="20"/>
        <v>0</v>
      </c>
    </row>
    <row r="451" spans="1:22" x14ac:dyDescent="0.3">
      <c r="A451" t="s">
        <v>1106</v>
      </c>
      <c r="B451">
        <v>2024</v>
      </c>
      <c r="C451" t="s">
        <v>1107</v>
      </c>
      <c r="D451" t="s">
        <v>29</v>
      </c>
      <c r="E451" t="s">
        <v>1108</v>
      </c>
      <c r="F451" t="s">
        <v>31</v>
      </c>
      <c r="G451" t="s">
        <v>24</v>
      </c>
      <c r="H451">
        <v>1</v>
      </c>
      <c r="I451">
        <v>1</v>
      </c>
      <c r="J451">
        <v>0</v>
      </c>
      <c r="K451">
        <v>1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f t="shared" ref="T451:T514" si="21">SUM(H451:M451)</f>
        <v>5</v>
      </c>
      <c r="U451">
        <f t="shared" ref="U451:U514" si="22">SUM(N451:R451)</f>
        <v>0</v>
      </c>
      <c r="V451" t="b">
        <f t="shared" ref="V451:V514" si="23">T451&gt;4</f>
        <v>1</v>
      </c>
    </row>
    <row r="452" spans="1:22" x14ac:dyDescent="0.3">
      <c r="A452" t="s">
        <v>1109</v>
      </c>
      <c r="B452">
        <v>2024</v>
      </c>
      <c r="C452" t="s">
        <v>200</v>
      </c>
      <c r="D452" t="s">
        <v>29</v>
      </c>
      <c r="E452" t="s">
        <v>1110</v>
      </c>
      <c r="F452" t="s">
        <v>39</v>
      </c>
      <c r="G452" t="s">
        <v>24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f t="shared" si="21"/>
        <v>3</v>
      </c>
      <c r="U452">
        <f t="shared" si="22"/>
        <v>1</v>
      </c>
      <c r="V452" t="b">
        <f t="shared" si="23"/>
        <v>0</v>
      </c>
    </row>
    <row r="453" spans="1:22" x14ac:dyDescent="0.3">
      <c r="A453" t="s">
        <v>1111</v>
      </c>
      <c r="B453">
        <v>2024</v>
      </c>
      <c r="C453" t="s">
        <v>200</v>
      </c>
      <c r="D453" t="s">
        <v>29</v>
      </c>
      <c r="E453" t="s">
        <v>1112</v>
      </c>
      <c r="F453" t="s">
        <v>39</v>
      </c>
      <c r="G453" t="s">
        <v>24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f t="shared" si="21"/>
        <v>4</v>
      </c>
      <c r="U453">
        <f t="shared" si="22"/>
        <v>1</v>
      </c>
      <c r="V453" t="b">
        <f t="shared" si="23"/>
        <v>0</v>
      </c>
    </row>
    <row r="454" spans="1:22" x14ac:dyDescent="0.3">
      <c r="A454" t="s">
        <v>1113</v>
      </c>
      <c r="B454">
        <v>2024</v>
      </c>
      <c r="C454" t="s">
        <v>799</v>
      </c>
      <c r="D454" t="s">
        <v>29</v>
      </c>
      <c r="E454" t="s">
        <v>1114</v>
      </c>
      <c r="F454" t="s">
        <v>31</v>
      </c>
      <c r="G454" t="s">
        <v>24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f t="shared" si="21"/>
        <v>3</v>
      </c>
      <c r="U454">
        <f t="shared" si="22"/>
        <v>1</v>
      </c>
      <c r="V454" t="b">
        <f t="shared" si="23"/>
        <v>0</v>
      </c>
    </row>
    <row r="455" spans="1:22" x14ac:dyDescent="0.3">
      <c r="A455" t="s">
        <v>1115</v>
      </c>
      <c r="B455">
        <v>2024</v>
      </c>
      <c r="C455" t="s">
        <v>209</v>
      </c>
      <c r="D455" t="s">
        <v>29</v>
      </c>
      <c r="E455" t="s">
        <v>1116</v>
      </c>
      <c r="F455" t="s">
        <v>39</v>
      </c>
      <c r="G455" t="s">
        <v>24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f t="shared" si="21"/>
        <v>3</v>
      </c>
      <c r="U455">
        <f t="shared" si="22"/>
        <v>0</v>
      </c>
      <c r="V455" t="b">
        <f t="shared" si="23"/>
        <v>0</v>
      </c>
    </row>
    <row r="456" spans="1:22" x14ac:dyDescent="0.3">
      <c r="A456" t="s">
        <v>1117</v>
      </c>
      <c r="B456">
        <v>2024</v>
      </c>
      <c r="C456" t="s">
        <v>1118</v>
      </c>
      <c r="D456" t="s">
        <v>29</v>
      </c>
      <c r="E456" t="s">
        <v>1119</v>
      </c>
      <c r="F456" t="s">
        <v>31</v>
      </c>
      <c r="G456" t="s">
        <v>24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f t="shared" si="21"/>
        <v>3</v>
      </c>
      <c r="U456">
        <f t="shared" si="22"/>
        <v>1</v>
      </c>
      <c r="V456" t="b">
        <f t="shared" si="23"/>
        <v>0</v>
      </c>
    </row>
    <row r="457" spans="1:22" x14ac:dyDescent="0.3">
      <c r="A457" t="s">
        <v>1120</v>
      </c>
      <c r="B457">
        <v>2024</v>
      </c>
      <c r="C457" t="s">
        <v>1121</v>
      </c>
      <c r="D457" t="s">
        <v>21</v>
      </c>
      <c r="E457" t="s">
        <v>1122</v>
      </c>
      <c r="F457" t="s">
        <v>23</v>
      </c>
      <c r="G457" t="s">
        <v>24</v>
      </c>
      <c r="H457">
        <v>1</v>
      </c>
      <c r="I457">
        <v>1</v>
      </c>
      <c r="J457">
        <v>0</v>
      </c>
      <c r="K457">
        <v>1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f t="shared" si="21"/>
        <v>5</v>
      </c>
      <c r="U457">
        <f t="shared" si="22"/>
        <v>0</v>
      </c>
      <c r="V457" t="b">
        <f t="shared" si="23"/>
        <v>1</v>
      </c>
    </row>
    <row r="458" spans="1:22" x14ac:dyDescent="0.3">
      <c r="A458" t="s">
        <v>1123</v>
      </c>
      <c r="B458">
        <v>2024</v>
      </c>
      <c r="C458" t="s">
        <v>733</v>
      </c>
      <c r="D458" t="s">
        <v>29</v>
      </c>
      <c r="E458" t="s">
        <v>1124</v>
      </c>
      <c r="F458" t="s">
        <v>39</v>
      </c>
      <c r="G458" t="s">
        <v>24</v>
      </c>
      <c r="H458">
        <v>1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f t="shared" si="21"/>
        <v>3</v>
      </c>
      <c r="U458">
        <f t="shared" si="22"/>
        <v>0</v>
      </c>
      <c r="V458" t="b">
        <f t="shared" si="23"/>
        <v>0</v>
      </c>
    </row>
    <row r="459" spans="1:22" x14ac:dyDescent="0.3">
      <c r="A459" t="s">
        <v>1125</v>
      </c>
      <c r="B459">
        <v>2024</v>
      </c>
      <c r="C459" t="s">
        <v>704</v>
      </c>
      <c r="D459" t="s">
        <v>29</v>
      </c>
      <c r="E459" t="s">
        <v>1126</v>
      </c>
      <c r="F459" t="s">
        <v>31</v>
      </c>
      <c r="G459" t="s">
        <v>24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f t="shared" si="21"/>
        <v>2</v>
      </c>
      <c r="U459">
        <f t="shared" si="22"/>
        <v>0</v>
      </c>
      <c r="V459" t="b">
        <f t="shared" si="23"/>
        <v>0</v>
      </c>
    </row>
    <row r="460" spans="1:22" x14ac:dyDescent="0.3">
      <c r="A460" t="s">
        <v>1127</v>
      </c>
      <c r="B460">
        <v>2024</v>
      </c>
      <c r="C460" t="s">
        <v>1128</v>
      </c>
      <c r="D460" t="s">
        <v>29</v>
      </c>
      <c r="E460" t="s">
        <v>1129</v>
      </c>
      <c r="F460" t="s">
        <v>39</v>
      </c>
      <c r="G460" t="s">
        <v>24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f t="shared" si="21"/>
        <v>3</v>
      </c>
      <c r="U460">
        <f t="shared" si="22"/>
        <v>0</v>
      </c>
      <c r="V460" t="b">
        <f t="shared" si="23"/>
        <v>0</v>
      </c>
    </row>
    <row r="461" spans="1:22" x14ac:dyDescent="0.3">
      <c r="A461" t="s">
        <v>1130</v>
      </c>
      <c r="B461">
        <v>2024</v>
      </c>
      <c r="C461" t="s">
        <v>1131</v>
      </c>
      <c r="D461" t="s">
        <v>29</v>
      </c>
      <c r="E461" t="s">
        <v>1132</v>
      </c>
      <c r="F461" t="s">
        <v>39</v>
      </c>
      <c r="G461" t="s">
        <v>24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f t="shared" si="21"/>
        <v>2</v>
      </c>
      <c r="U461">
        <f t="shared" si="22"/>
        <v>0</v>
      </c>
      <c r="V461" t="b">
        <f t="shared" si="23"/>
        <v>0</v>
      </c>
    </row>
    <row r="462" spans="1:22" x14ac:dyDescent="0.3">
      <c r="A462" t="s">
        <v>1133</v>
      </c>
      <c r="B462">
        <v>2024</v>
      </c>
      <c r="C462" t="s">
        <v>209</v>
      </c>
      <c r="D462" t="s">
        <v>29</v>
      </c>
      <c r="E462" t="s">
        <v>1134</v>
      </c>
      <c r="F462" t="s">
        <v>39</v>
      </c>
      <c r="G462" t="s">
        <v>24</v>
      </c>
      <c r="H462">
        <v>1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f t="shared" si="21"/>
        <v>3</v>
      </c>
      <c r="U462">
        <f t="shared" si="22"/>
        <v>0</v>
      </c>
      <c r="V462" t="b">
        <f t="shared" si="23"/>
        <v>0</v>
      </c>
    </row>
    <row r="463" spans="1:22" x14ac:dyDescent="0.3">
      <c r="A463" t="s">
        <v>1135</v>
      </c>
      <c r="B463">
        <v>2024</v>
      </c>
      <c r="C463" t="s">
        <v>1136</v>
      </c>
      <c r="D463" t="s">
        <v>29</v>
      </c>
      <c r="E463" t="s">
        <v>1137</v>
      </c>
      <c r="F463" t="s">
        <v>31</v>
      </c>
      <c r="G463" t="s">
        <v>24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f t="shared" si="21"/>
        <v>3</v>
      </c>
      <c r="U463">
        <f t="shared" si="22"/>
        <v>0</v>
      </c>
      <c r="V463" t="b">
        <f t="shared" si="23"/>
        <v>0</v>
      </c>
    </row>
    <row r="464" spans="1:22" x14ac:dyDescent="0.3">
      <c r="A464" t="s">
        <v>1138</v>
      </c>
      <c r="B464">
        <v>2024</v>
      </c>
      <c r="C464" t="s">
        <v>1139</v>
      </c>
      <c r="D464" t="s">
        <v>21</v>
      </c>
      <c r="E464" t="s">
        <v>1140</v>
      </c>
      <c r="F464" t="s">
        <v>510</v>
      </c>
      <c r="G464" t="s">
        <v>24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f t="shared" si="21"/>
        <v>3</v>
      </c>
      <c r="U464">
        <f t="shared" si="22"/>
        <v>0</v>
      </c>
      <c r="V464" t="b">
        <f t="shared" si="23"/>
        <v>0</v>
      </c>
    </row>
    <row r="465" spans="1:22" x14ac:dyDescent="0.3">
      <c r="A465" t="s">
        <v>1141</v>
      </c>
      <c r="B465">
        <v>2024</v>
      </c>
      <c r="C465" t="s">
        <v>203</v>
      </c>
      <c r="D465" t="s">
        <v>29</v>
      </c>
      <c r="E465" t="s">
        <v>1142</v>
      </c>
      <c r="F465" t="s">
        <v>31</v>
      </c>
      <c r="G465" t="s">
        <v>24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f t="shared" si="21"/>
        <v>2</v>
      </c>
      <c r="U465">
        <f t="shared" si="22"/>
        <v>0</v>
      </c>
      <c r="V465" t="b">
        <f t="shared" si="23"/>
        <v>0</v>
      </c>
    </row>
    <row r="466" spans="1:22" x14ac:dyDescent="0.3">
      <c r="A466" t="s">
        <v>1143</v>
      </c>
      <c r="B466">
        <v>2024</v>
      </c>
      <c r="C466" t="s">
        <v>1144</v>
      </c>
      <c r="D466" t="s">
        <v>29</v>
      </c>
      <c r="E466" t="s">
        <v>1145</v>
      </c>
      <c r="F466" t="s">
        <v>31</v>
      </c>
      <c r="G466" t="s">
        <v>24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f t="shared" si="21"/>
        <v>2</v>
      </c>
      <c r="U466">
        <f t="shared" si="22"/>
        <v>0</v>
      </c>
      <c r="V466" t="b">
        <f t="shared" si="23"/>
        <v>0</v>
      </c>
    </row>
    <row r="467" spans="1:22" x14ac:dyDescent="0.3">
      <c r="A467" t="s">
        <v>1146</v>
      </c>
      <c r="B467">
        <v>2024</v>
      </c>
      <c r="C467" t="s">
        <v>799</v>
      </c>
      <c r="D467" t="s">
        <v>29</v>
      </c>
      <c r="E467" t="s">
        <v>1147</v>
      </c>
      <c r="F467" t="s">
        <v>31</v>
      </c>
      <c r="G467" t="s">
        <v>24</v>
      </c>
      <c r="H467">
        <v>0</v>
      </c>
      <c r="I467">
        <v>1</v>
      </c>
      <c r="J467">
        <v>0</v>
      </c>
      <c r="K467">
        <v>0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f t="shared" si="21"/>
        <v>3</v>
      </c>
      <c r="U467">
        <f t="shared" si="22"/>
        <v>1</v>
      </c>
      <c r="V467" t="b">
        <f t="shared" si="23"/>
        <v>0</v>
      </c>
    </row>
    <row r="468" spans="1:22" x14ac:dyDescent="0.3">
      <c r="A468" t="s">
        <v>1148</v>
      </c>
      <c r="B468">
        <v>2024</v>
      </c>
      <c r="C468" t="s">
        <v>710</v>
      </c>
      <c r="D468" t="s">
        <v>29</v>
      </c>
      <c r="E468" t="s">
        <v>1149</v>
      </c>
      <c r="F468" t="s">
        <v>39</v>
      </c>
      <c r="G468" t="s">
        <v>24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f t="shared" si="21"/>
        <v>2</v>
      </c>
      <c r="U468">
        <f t="shared" si="22"/>
        <v>0</v>
      </c>
      <c r="V468" t="b">
        <f t="shared" si="23"/>
        <v>0</v>
      </c>
    </row>
    <row r="469" spans="1:22" x14ac:dyDescent="0.3">
      <c r="A469" t="s">
        <v>1150</v>
      </c>
      <c r="B469">
        <v>2024</v>
      </c>
      <c r="C469" t="s">
        <v>1151</v>
      </c>
      <c r="D469" t="s">
        <v>21</v>
      </c>
      <c r="E469" t="s">
        <v>1152</v>
      </c>
      <c r="F469" t="s">
        <v>510</v>
      </c>
      <c r="G469" t="s">
        <v>24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f t="shared" si="21"/>
        <v>3</v>
      </c>
      <c r="U469">
        <f t="shared" si="22"/>
        <v>1</v>
      </c>
      <c r="V469" t="b">
        <f t="shared" si="23"/>
        <v>0</v>
      </c>
    </row>
    <row r="470" spans="1:22" x14ac:dyDescent="0.3">
      <c r="A470" t="s">
        <v>1153</v>
      </c>
      <c r="B470">
        <v>2024</v>
      </c>
      <c r="C470" t="s">
        <v>195</v>
      </c>
      <c r="D470" t="s">
        <v>29</v>
      </c>
      <c r="E470" t="s">
        <v>1154</v>
      </c>
      <c r="F470" t="s">
        <v>39</v>
      </c>
      <c r="G470" t="s">
        <v>24</v>
      </c>
      <c r="H470">
        <v>0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f t="shared" si="21"/>
        <v>3</v>
      </c>
      <c r="U470">
        <f t="shared" si="22"/>
        <v>1</v>
      </c>
      <c r="V470" t="b">
        <f t="shared" si="23"/>
        <v>0</v>
      </c>
    </row>
    <row r="471" spans="1:22" x14ac:dyDescent="0.3">
      <c r="A471" t="s">
        <v>1155</v>
      </c>
      <c r="B471">
        <v>2024</v>
      </c>
      <c r="C471" t="s">
        <v>267</v>
      </c>
      <c r="D471" t="s">
        <v>29</v>
      </c>
      <c r="E471" t="s">
        <v>1156</v>
      </c>
      <c r="F471" t="s">
        <v>39</v>
      </c>
      <c r="G471" t="s">
        <v>24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f t="shared" si="21"/>
        <v>3</v>
      </c>
      <c r="U471">
        <f t="shared" si="22"/>
        <v>1</v>
      </c>
      <c r="V471" t="b">
        <f t="shared" si="23"/>
        <v>0</v>
      </c>
    </row>
    <row r="472" spans="1:22" x14ac:dyDescent="0.3">
      <c r="A472" t="s">
        <v>1157</v>
      </c>
      <c r="B472">
        <v>2024</v>
      </c>
      <c r="C472" t="s">
        <v>1158</v>
      </c>
      <c r="D472" t="s">
        <v>21</v>
      </c>
      <c r="E472" t="s">
        <v>1159</v>
      </c>
      <c r="F472" t="s">
        <v>23</v>
      </c>
      <c r="G472" t="s">
        <v>24</v>
      </c>
      <c r="H472">
        <v>0</v>
      </c>
      <c r="I472">
        <v>1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f t="shared" si="21"/>
        <v>3</v>
      </c>
      <c r="U472">
        <f t="shared" si="22"/>
        <v>1</v>
      </c>
      <c r="V472" t="b">
        <f t="shared" si="23"/>
        <v>0</v>
      </c>
    </row>
    <row r="473" spans="1:22" x14ac:dyDescent="0.3">
      <c r="A473" t="s">
        <v>1160</v>
      </c>
      <c r="B473">
        <v>2024</v>
      </c>
      <c r="C473" t="s">
        <v>1161</v>
      </c>
      <c r="D473" t="s">
        <v>29</v>
      </c>
      <c r="E473" t="s">
        <v>1162</v>
      </c>
      <c r="F473" t="s">
        <v>31</v>
      </c>
      <c r="G473" t="s">
        <v>24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f t="shared" si="21"/>
        <v>3</v>
      </c>
      <c r="U473">
        <f t="shared" si="22"/>
        <v>1</v>
      </c>
      <c r="V473" t="b">
        <f t="shared" si="23"/>
        <v>0</v>
      </c>
    </row>
    <row r="474" spans="1:22" x14ac:dyDescent="0.3">
      <c r="A474" t="s">
        <v>1163</v>
      </c>
      <c r="B474">
        <v>2024</v>
      </c>
      <c r="C474" t="s">
        <v>799</v>
      </c>
      <c r="D474" t="s">
        <v>29</v>
      </c>
      <c r="E474" t="s">
        <v>1164</v>
      </c>
      <c r="F474" t="s">
        <v>31</v>
      </c>
      <c r="G474" t="s">
        <v>24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f t="shared" si="21"/>
        <v>2</v>
      </c>
      <c r="U474">
        <f t="shared" si="22"/>
        <v>0</v>
      </c>
      <c r="V474" t="b">
        <f t="shared" si="23"/>
        <v>0</v>
      </c>
    </row>
    <row r="475" spans="1:22" x14ac:dyDescent="0.3">
      <c r="A475" t="s">
        <v>1165</v>
      </c>
      <c r="B475">
        <v>2024</v>
      </c>
      <c r="C475" t="s">
        <v>184</v>
      </c>
      <c r="D475" t="s">
        <v>29</v>
      </c>
      <c r="E475" t="s">
        <v>1166</v>
      </c>
      <c r="F475" t="s">
        <v>31</v>
      </c>
      <c r="G475" t="s">
        <v>24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f t="shared" si="21"/>
        <v>2</v>
      </c>
      <c r="U475">
        <f t="shared" si="22"/>
        <v>0</v>
      </c>
      <c r="V475" t="b">
        <f t="shared" si="23"/>
        <v>0</v>
      </c>
    </row>
    <row r="476" spans="1:22" x14ac:dyDescent="0.3">
      <c r="A476" t="s">
        <v>1167</v>
      </c>
      <c r="B476">
        <v>2024</v>
      </c>
      <c r="C476" t="s">
        <v>209</v>
      </c>
      <c r="D476" t="s">
        <v>29</v>
      </c>
      <c r="E476" t="s">
        <v>1168</v>
      </c>
      <c r="F476" t="s">
        <v>39</v>
      </c>
      <c r="G476" t="s">
        <v>24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f t="shared" si="21"/>
        <v>2</v>
      </c>
      <c r="U476">
        <f t="shared" si="22"/>
        <v>0</v>
      </c>
      <c r="V476" t="b">
        <f t="shared" si="23"/>
        <v>0</v>
      </c>
    </row>
    <row r="477" spans="1:22" x14ac:dyDescent="0.3">
      <c r="A477" t="s">
        <v>1169</v>
      </c>
      <c r="B477">
        <v>2024</v>
      </c>
      <c r="C477" t="s">
        <v>209</v>
      </c>
      <c r="D477" t="s">
        <v>29</v>
      </c>
      <c r="E477" t="s">
        <v>1170</v>
      </c>
      <c r="F477" t="s">
        <v>39</v>
      </c>
      <c r="G477" t="s">
        <v>24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f t="shared" si="21"/>
        <v>2</v>
      </c>
      <c r="U477">
        <f t="shared" si="22"/>
        <v>0</v>
      </c>
      <c r="V477" t="b">
        <f t="shared" si="23"/>
        <v>0</v>
      </c>
    </row>
    <row r="478" spans="1:22" x14ac:dyDescent="0.3">
      <c r="A478" t="s">
        <v>1171</v>
      </c>
      <c r="B478">
        <v>2024</v>
      </c>
      <c r="C478" t="s">
        <v>1104</v>
      </c>
      <c r="D478" t="s">
        <v>29</v>
      </c>
      <c r="E478" t="s">
        <v>1172</v>
      </c>
      <c r="F478" t="s">
        <v>31</v>
      </c>
      <c r="G478" t="s">
        <v>24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f t="shared" si="21"/>
        <v>3</v>
      </c>
      <c r="U478">
        <f t="shared" si="22"/>
        <v>1</v>
      </c>
      <c r="V478" t="b">
        <f t="shared" si="23"/>
        <v>0</v>
      </c>
    </row>
    <row r="479" spans="1:22" x14ac:dyDescent="0.3">
      <c r="A479" t="s">
        <v>1173</v>
      </c>
      <c r="B479">
        <v>2024</v>
      </c>
      <c r="C479" t="s">
        <v>1174</v>
      </c>
      <c r="D479" t="s">
        <v>29</v>
      </c>
      <c r="E479" t="s">
        <v>1175</v>
      </c>
      <c r="F479" t="s">
        <v>39</v>
      </c>
      <c r="G479" t="s">
        <v>24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f t="shared" si="21"/>
        <v>2</v>
      </c>
      <c r="U479">
        <f t="shared" si="22"/>
        <v>0</v>
      </c>
      <c r="V479" t="b">
        <f t="shared" si="23"/>
        <v>0</v>
      </c>
    </row>
    <row r="480" spans="1:22" x14ac:dyDescent="0.3">
      <c r="A480" t="s">
        <v>1176</v>
      </c>
      <c r="B480">
        <v>2024</v>
      </c>
      <c r="C480" t="s">
        <v>1177</v>
      </c>
      <c r="D480" t="s">
        <v>29</v>
      </c>
      <c r="E480" t="s">
        <v>1178</v>
      </c>
      <c r="F480" t="s">
        <v>39</v>
      </c>
      <c r="G480" t="s">
        <v>24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f t="shared" si="21"/>
        <v>2</v>
      </c>
      <c r="U480">
        <f t="shared" si="22"/>
        <v>0</v>
      </c>
      <c r="V480" t="b">
        <f t="shared" si="23"/>
        <v>0</v>
      </c>
    </row>
    <row r="481" spans="1:22" x14ac:dyDescent="0.3">
      <c r="A481" t="s">
        <v>1179</v>
      </c>
      <c r="B481">
        <v>2024</v>
      </c>
      <c r="C481" t="s">
        <v>184</v>
      </c>
      <c r="D481" t="s">
        <v>29</v>
      </c>
      <c r="E481" t="s">
        <v>1180</v>
      </c>
      <c r="F481" t="s">
        <v>31</v>
      </c>
      <c r="G481" t="s">
        <v>24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f t="shared" si="21"/>
        <v>3</v>
      </c>
      <c r="U481">
        <f t="shared" si="22"/>
        <v>0</v>
      </c>
      <c r="V481" t="b">
        <f t="shared" si="23"/>
        <v>0</v>
      </c>
    </row>
    <row r="482" spans="1:22" x14ac:dyDescent="0.3">
      <c r="A482" t="s">
        <v>1181</v>
      </c>
      <c r="B482">
        <v>2024</v>
      </c>
      <c r="C482" t="s">
        <v>727</v>
      </c>
      <c r="D482" t="s">
        <v>29</v>
      </c>
      <c r="E482" t="s">
        <v>1182</v>
      </c>
      <c r="F482" t="s">
        <v>39</v>
      </c>
      <c r="G482" t="s">
        <v>24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f t="shared" si="21"/>
        <v>2</v>
      </c>
      <c r="U482">
        <f t="shared" si="22"/>
        <v>0</v>
      </c>
      <c r="V482" t="b">
        <f t="shared" si="23"/>
        <v>0</v>
      </c>
    </row>
    <row r="483" spans="1:22" x14ac:dyDescent="0.3">
      <c r="A483" t="s">
        <v>1183</v>
      </c>
      <c r="B483">
        <v>2024</v>
      </c>
      <c r="C483" t="s">
        <v>209</v>
      </c>
      <c r="D483" t="s">
        <v>29</v>
      </c>
      <c r="E483" t="s">
        <v>1184</v>
      </c>
      <c r="F483" t="s">
        <v>39</v>
      </c>
      <c r="G483" t="s">
        <v>24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f t="shared" si="21"/>
        <v>2</v>
      </c>
      <c r="U483">
        <f t="shared" si="22"/>
        <v>0</v>
      </c>
      <c r="V483" t="b">
        <f t="shared" si="23"/>
        <v>0</v>
      </c>
    </row>
    <row r="484" spans="1:22" x14ac:dyDescent="0.3">
      <c r="A484" t="s">
        <v>1185</v>
      </c>
      <c r="B484">
        <v>2024</v>
      </c>
      <c r="C484" t="s">
        <v>1186</v>
      </c>
      <c r="D484" t="s">
        <v>29</v>
      </c>
      <c r="E484" t="s">
        <v>1187</v>
      </c>
      <c r="F484" t="s">
        <v>39</v>
      </c>
      <c r="G484" t="s">
        <v>24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f t="shared" si="21"/>
        <v>2</v>
      </c>
      <c r="U484">
        <f t="shared" si="22"/>
        <v>0</v>
      </c>
      <c r="V484" t="b">
        <f t="shared" si="23"/>
        <v>0</v>
      </c>
    </row>
    <row r="485" spans="1:22" x14ac:dyDescent="0.3">
      <c r="A485" t="s">
        <v>1188</v>
      </c>
      <c r="B485">
        <v>2023</v>
      </c>
      <c r="C485" t="s">
        <v>53</v>
      </c>
      <c r="D485" t="s">
        <v>29</v>
      </c>
      <c r="E485" t="s">
        <v>1189</v>
      </c>
      <c r="F485" t="s">
        <v>31</v>
      </c>
      <c r="G485" t="s">
        <v>24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f t="shared" si="21"/>
        <v>3</v>
      </c>
      <c r="U485">
        <f t="shared" si="22"/>
        <v>1</v>
      </c>
      <c r="V485" t="b">
        <f t="shared" si="23"/>
        <v>0</v>
      </c>
    </row>
    <row r="486" spans="1:22" x14ac:dyDescent="0.3">
      <c r="A486" t="s">
        <v>1190</v>
      </c>
      <c r="B486">
        <v>2023</v>
      </c>
      <c r="C486" t="s">
        <v>28</v>
      </c>
      <c r="D486" t="s">
        <v>29</v>
      </c>
      <c r="E486" t="s">
        <v>1191</v>
      </c>
      <c r="F486" t="s">
        <v>31</v>
      </c>
      <c r="G486" t="s">
        <v>24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f t="shared" si="21"/>
        <v>3</v>
      </c>
      <c r="U486">
        <f t="shared" si="22"/>
        <v>0</v>
      </c>
      <c r="V486" t="b">
        <f t="shared" si="23"/>
        <v>0</v>
      </c>
    </row>
    <row r="487" spans="1:22" x14ac:dyDescent="0.3">
      <c r="A487" t="s">
        <v>1192</v>
      </c>
      <c r="B487">
        <v>2023</v>
      </c>
      <c r="C487" t="s">
        <v>48</v>
      </c>
      <c r="D487" t="s">
        <v>29</v>
      </c>
      <c r="E487" t="s">
        <v>1193</v>
      </c>
      <c r="F487" t="s">
        <v>31</v>
      </c>
      <c r="G487" t="s">
        <v>24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f t="shared" si="21"/>
        <v>3</v>
      </c>
      <c r="U487">
        <f t="shared" si="22"/>
        <v>0</v>
      </c>
      <c r="V487" t="b">
        <f t="shared" si="23"/>
        <v>0</v>
      </c>
    </row>
    <row r="488" spans="1:22" x14ac:dyDescent="0.3">
      <c r="A488" t="s">
        <v>1194</v>
      </c>
      <c r="B488">
        <v>2023</v>
      </c>
      <c r="C488" t="s">
        <v>1195</v>
      </c>
      <c r="D488" t="s">
        <v>21</v>
      </c>
      <c r="E488" t="s">
        <v>1196</v>
      </c>
      <c r="F488" t="s">
        <v>23</v>
      </c>
      <c r="G488" t="s">
        <v>24</v>
      </c>
      <c r="H488">
        <v>1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f t="shared" si="21"/>
        <v>3</v>
      </c>
      <c r="U488">
        <f t="shared" si="22"/>
        <v>0</v>
      </c>
      <c r="V488" t="b">
        <f t="shared" si="23"/>
        <v>0</v>
      </c>
    </row>
    <row r="489" spans="1:22" x14ac:dyDescent="0.3">
      <c r="A489" t="s">
        <v>1197</v>
      </c>
      <c r="B489">
        <v>2023</v>
      </c>
      <c r="C489" t="s">
        <v>1198</v>
      </c>
      <c r="D489" t="s">
        <v>29</v>
      </c>
      <c r="E489" t="s">
        <v>1199</v>
      </c>
      <c r="F489" t="s">
        <v>39</v>
      </c>
      <c r="G489" t="s">
        <v>24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f t="shared" si="21"/>
        <v>3</v>
      </c>
      <c r="U489">
        <f t="shared" si="22"/>
        <v>0</v>
      </c>
      <c r="V489" t="b">
        <f t="shared" si="23"/>
        <v>0</v>
      </c>
    </row>
    <row r="490" spans="1:22" x14ac:dyDescent="0.3">
      <c r="A490" t="s">
        <v>1200</v>
      </c>
      <c r="B490">
        <v>2023</v>
      </c>
      <c r="C490" t="s">
        <v>413</v>
      </c>
      <c r="D490" t="s">
        <v>130</v>
      </c>
      <c r="E490" t="s">
        <v>1201</v>
      </c>
      <c r="F490" t="s">
        <v>31</v>
      </c>
      <c r="G490" t="s">
        <v>24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f t="shared" si="21"/>
        <v>3</v>
      </c>
      <c r="U490">
        <f t="shared" si="22"/>
        <v>1</v>
      </c>
      <c r="V490" t="b">
        <f t="shared" si="23"/>
        <v>0</v>
      </c>
    </row>
    <row r="491" spans="1:22" x14ac:dyDescent="0.3">
      <c r="A491" t="s">
        <v>1202</v>
      </c>
      <c r="B491">
        <v>2023</v>
      </c>
      <c r="C491" t="s">
        <v>1203</v>
      </c>
      <c r="D491" t="s">
        <v>21</v>
      </c>
      <c r="E491" t="s">
        <v>1204</v>
      </c>
      <c r="F491" t="s">
        <v>23</v>
      </c>
      <c r="G491" t="s">
        <v>24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f t="shared" si="21"/>
        <v>3</v>
      </c>
      <c r="U491">
        <f t="shared" si="22"/>
        <v>0</v>
      </c>
      <c r="V491" t="b">
        <f t="shared" si="23"/>
        <v>0</v>
      </c>
    </row>
    <row r="492" spans="1:22" x14ac:dyDescent="0.3">
      <c r="A492" t="s">
        <v>1205</v>
      </c>
      <c r="B492">
        <v>2023</v>
      </c>
      <c r="C492" t="s">
        <v>1206</v>
      </c>
      <c r="D492" t="s">
        <v>21</v>
      </c>
      <c r="E492" t="s">
        <v>1207</v>
      </c>
      <c r="F492" t="s">
        <v>23</v>
      </c>
      <c r="G492" t="s">
        <v>24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f t="shared" si="21"/>
        <v>3</v>
      </c>
      <c r="U492">
        <f t="shared" si="22"/>
        <v>0</v>
      </c>
      <c r="V492" t="b">
        <f t="shared" si="23"/>
        <v>0</v>
      </c>
    </row>
    <row r="493" spans="1:22" x14ac:dyDescent="0.3">
      <c r="A493" t="s">
        <v>1208</v>
      </c>
      <c r="B493">
        <v>2023</v>
      </c>
      <c r="C493" t="s">
        <v>1209</v>
      </c>
      <c r="D493" t="s">
        <v>21</v>
      </c>
      <c r="E493" t="s">
        <v>1210</v>
      </c>
      <c r="F493" t="s">
        <v>35</v>
      </c>
      <c r="G493" t="s">
        <v>24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f t="shared" si="21"/>
        <v>2</v>
      </c>
      <c r="U493">
        <f t="shared" si="22"/>
        <v>0</v>
      </c>
      <c r="V493" t="b">
        <f t="shared" si="23"/>
        <v>0</v>
      </c>
    </row>
    <row r="494" spans="1:22" x14ac:dyDescent="0.3">
      <c r="A494" t="s">
        <v>1211</v>
      </c>
      <c r="B494">
        <v>2023</v>
      </c>
      <c r="C494" t="s">
        <v>1209</v>
      </c>
      <c r="D494" t="s">
        <v>21</v>
      </c>
      <c r="E494" t="s">
        <v>1212</v>
      </c>
      <c r="F494" t="s">
        <v>35</v>
      </c>
      <c r="G494" t="s">
        <v>24</v>
      </c>
      <c r="H494">
        <v>0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f t="shared" si="21"/>
        <v>4</v>
      </c>
      <c r="U494">
        <f t="shared" si="22"/>
        <v>1</v>
      </c>
      <c r="V494" t="b">
        <f t="shared" si="23"/>
        <v>0</v>
      </c>
    </row>
    <row r="495" spans="1:22" x14ac:dyDescent="0.3">
      <c r="A495" t="s">
        <v>1213</v>
      </c>
      <c r="B495">
        <v>2023</v>
      </c>
      <c r="C495" t="s">
        <v>53</v>
      </c>
      <c r="D495" t="s">
        <v>29</v>
      </c>
      <c r="E495" t="s">
        <v>1214</v>
      </c>
      <c r="F495" t="s">
        <v>31</v>
      </c>
      <c r="G495" t="s">
        <v>24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f t="shared" si="21"/>
        <v>6</v>
      </c>
      <c r="U495">
        <f t="shared" si="22"/>
        <v>0</v>
      </c>
      <c r="V495" t="b">
        <f t="shared" si="23"/>
        <v>1</v>
      </c>
    </row>
    <row r="496" spans="1:22" x14ac:dyDescent="0.3">
      <c r="A496" t="s">
        <v>1215</v>
      </c>
      <c r="B496">
        <v>2023</v>
      </c>
      <c r="C496" t="s">
        <v>418</v>
      </c>
      <c r="D496" t="s">
        <v>130</v>
      </c>
      <c r="E496" t="s">
        <v>1216</v>
      </c>
      <c r="F496" t="s">
        <v>31</v>
      </c>
      <c r="G496" t="s">
        <v>24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f t="shared" si="21"/>
        <v>6</v>
      </c>
      <c r="U496">
        <f t="shared" si="22"/>
        <v>0</v>
      </c>
      <c r="V496" t="b">
        <f t="shared" si="23"/>
        <v>1</v>
      </c>
    </row>
    <row r="497" spans="1:22" x14ac:dyDescent="0.3">
      <c r="A497" t="s">
        <v>1217</v>
      </c>
      <c r="B497">
        <v>2023</v>
      </c>
      <c r="C497" t="s">
        <v>1203</v>
      </c>
      <c r="D497" t="s">
        <v>21</v>
      </c>
      <c r="E497" t="s">
        <v>1218</v>
      </c>
      <c r="F497" t="s">
        <v>23</v>
      </c>
      <c r="G497" t="s">
        <v>24</v>
      </c>
      <c r="H497">
        <v>1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f t="shared" si="21"/>
        <v>5</v>
      </c>
      <c r="U497">
        <f t="shared" si="22"/>
        <v>1</v>
      </c>
      <c r="V497" t="b">
        <f t="shared" si="23"/>
        <v>1</v>
      </c>
    </row>
    <row r="498" spans="1:22" x14ac:dyDescent="0.3">
      <c r="A498" t="s">
        <v>1219</v>
      </c>
      <c r="B498">
        <v>2023</v>
      </c>
      <c r="C498" t="s">
        <v>1220</v>
      </c>
      <c r="D498" t="s">
        <v>21</v>
      </c>
      <c r="E498" t="s">
        <v>1221</v>
      </c>
      <c r="F498" t="s">
        <v>35</v>
      </c>
      <c r="G498" t="s">
        <v>24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f t="shared" si="21"/>
        <v>2</v>
      </c>
      <c r="U498">
        <f t="shared" si="22"/>
        <v>0</v>
      </c>
      <c r="V498" t="b">
        <f t="shared" si="23"/>
        <v>0</v>
      </c>
    </row>
    <row r="499" spans="1:22" x14ac:dyDescent="0.3">
      <c r="A499" t="s">
        <v>1222</v>
      </c>
      <c r="B499">
        <v>2023</v>
      </c>
      <c r="C499" t="s">
        <v>1209</v>
      </c>
      <c r="D499" t="s">
        <v>21</v>
      </c>
      <c r="E499" t="s">
        <v>1223</v>
      </c>
      <c r="F499" t="s">
        <v>35</v>
      </c>
      <c r="G499" t="s">
        <v>24</v>
      </c>
      <c r="H499">
        <v>1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f t="shared" si="21"/>
        <v>3</v>
      </c>
      <c r="U499">
        <f t="shared" si="22"/>
        <v>0</v>
      </c>
      <c r="V499" t="b">
        <f t="shared" si="23"/>
        <v>0</v>
      </c>
    </row>
    <row r="500" spans="1:22" x14ac:dyDescent="0.3">
      <c r="A500" t="s">
        <v>1224</v>
      </c>
      <c r="B500">
        <v>2023</v>
      </c>
      <c r="C500" t="s">
        <v>1225</v>
      </c>
      <c r="D500" t="s">
        <v>21</v>
      </c>
      <c r="E500" t="s">
        <v>1226</v>
      </c>
      <c r="F500" t="s">
        <v>23</v>
      </c>
      <c r="G500" t="s">
        <v>24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f t="shared" si="21"/>
        <v>2</v>
      </c>
      <c r="U500">
        <f t="shared" si="22"/>
        <v>0</v>
      </c>
      <c r="V500" t="b">
        <f t="shared" si="23"/>
        <v>0</v>
      </c>
    </row>
    <row r="501" spans="1:22" x14ac:dyDescent="0.3">
      <c r="A501" t="s">
        <v>1227</v>
      </c>
      <c r="B501">
        <v>2023</v>
      </c>
      <c r="C501" t="s">
        <v>1209</v>
      </c>
      <c r="D501" t="s">
        <v>21</v>
      </c>
      <c r="E501" t="s">
        <v>1228</v>
      </c>
      <c r="F501" t="s">
        <v>35</v>
      </c>
      <c r="G501" t="s">
        <v>24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f t="shared" si="21"/>
        <v>2</v>
      </c>
      <c r="U501">
        <f t="shared" si="22"/>
        <v>0</v>
      </c>
      <c r="V501" t="b">
        <f t="shared" si="23"/>
        <v>0</v>
      </c>
    </row>
    <row r="502" spans="1:22" x14ac:dyDescent="0.3">
      <c r="A502" t="s">
        <v>1229</v>
      </c>
      <c r="B502">
        <v>2023</v>
      </c>
      <c r="C502" t="s">
        <v>1195</v>
      </c>
      <c r="D502" t="s">
        <v>21</v>
      </c>
      <c r="E502" t="s">
        <v>1230</v>
      </c>
      <c r="F502" t="s">
        <v>23</v>
      </c>
      <c r="G502" t="s">
        <v>24</v>
      </c>
      <c r="H502">
        <v>1</v>
      </c>
      <c r="I502">
        <v>1</v>
      </c>
      <c r="J502">
        <v>0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f t="shared" si="21"/>
        <v>5</v>
      </c>
      <c r="U502">
        <f t="shared" si="22"/>
        <v>0</v>
      </c>
      <c r="V502" t="b">
        <f t="shared" si="23"/>
        <v>1</v>
      </c>
    </row>
    <row r="503" spans="1:22" x14ac:dyDescent="0.3">
      <c r="A503" t="s">
        <v>1231</v>
      </c>
      <c r="B503">
        <v>2023</v>
      </c>
      <c r="C503" t="s">
        <v>1232</v>
      </c>
      <c r="D503" t="s">
        <v>21</v>
      </c>
      <c r="E503" t="s">
        <v>1233</v>
      </c>
      <c r="F503" t="s">
        <v>35</v>
      </c>
      <c r="G503" t="s">
        <v>24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f t="shared" si="21"/>
        <v>2</v>
      </c>
      <c r="U503">
        <f t="shared" si="22"/>
        <v>0</v>
      </c>
      <c r="V503" t="b">
        <f t="shared" si="23"/>
        <v>0</v>
      </c>
    </row>
    <row r="504" spans="1:22" x14ac:dyDescent="0.3">
      <c r="A504" t="s">
        <v>1234</v>
      </c>
      <c r="B504">
        <v>2023</v>
      </c>
      <c r="C504" t="s">
        <v>1235</v>
      </c>
      <c r="D504" t="s">
        <v>21</v>
      </c>
      <c r="E504" t="s">
        <v>1236</v>
      </c>
      <c r="F504" t="s">
        <v>23</v>
      </c>
      <c r="G504" t="s">
        <v>24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f t="shared" si="21"/>
        <v>3</v>
      </c>
      <c r="U504">
        <f t="shared" si="22"/>
        <v>0</v>
      </c>
      <c r="V504" t="b">
        <f t="shared" si="23"/>
        <v>0</v>
      </c>
    </row>
    <row r="505" spans="1:22" x14ac:dyDescent="0.3">
      <c r="A505" t="s">
        <v>1237</v>
      </c>
      <c r="B505">
        <v>2023</v>
      </c>
      <c r="C505" t="s">
        <v>1238</v>
      </c>
      <c r="D505" t="s">
        <v>21</v>
      </c>
      <c r="E505" t="s">
        <v>1239</v>
      </c>
      <c r="F505" t="s">
        <v>23</v>
      </c>
      <c r="G505" t="s">
        <v>24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f t="shared" si="21"/>
        <v>2</v>
      </c>
      <c r="U505">
        <f t="shared" si="22"/>
        <v>0</v>
      </c>
      <c r="V505" t="b">
        <f t="shared" si="23"/>
        <v>0</v>
      </c>
    </row>
    <row r="506" spans="1:22" x14ac:dyDescent="0.3">
      <c r="A506" t="s">
        <v>1240</v>
      </c>
      <c r="B506">
        <v>2023</v>
      </c>
      <c r="C506" t="s">
        <v>53</v>
      </c>
      <c r="D506" t="s">
        <v>29</v>
      </c>
      <c r="E506" t="s">
        <v>1241</v>
      </c>
      <c r="F506" t="s">
        <v>31</v>
      </c>
      <c r="G506" t="s">
        <v>24</v>
      </c>
      <c r="H506">
        <v>1</v>
      </c>
      <c r="I506">
        <v>1</v>
      </c>
      <c r="J506">
        <v>0</v>
      </c>
      <c r="K506">
        <v>1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f t="shared" si="21"/>
        <v>5</v>
      </c>
      <c r="U506">
        <f t="shared" si="22"/>
        <v>0</v>
      </c>
      <c r="V506" t="b">
        <f t="shared" si="23"/>
        <v>1</v>
      </c>
    </row>
    <row r="507" spans="1:22" x14ac:dyDescent="0.3">
      <c r="A507" t="s">
        <v>1242</v>
      </c>
      <c r="B507">
        <v>2023</v>
      </c>
      <c r="C507" t="s">
        <v>1195</v>
      </c>
      <c r="D507" t="s">
        <v>21</v>
      </c>
      <c r="E507" t="s">
        <v>1243</v>
      </c>
      <c r="F507" t="s">
        <v>23</v>
      </c>
      <c r="G507" t="s">
        <v>24</v>
      </c>
      <c r="H507">
        <v>1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f t="shared" si="21"/>
        <v>3</v>
      </c>
      <c r="U507">
        <f t="shared" si="22"/>
        <v>0</v>
      </c>
      <c r="V507" t="b">
        <f t="shared" si="23"/>
        <v>0</v>
      </c>
    </row>
    <row r="508" spans="1:22" x14ac:dyDescent="0.3">
      <c r="A508" t="s">
        <v>1244</v>
      </c>
      <c r="B508">
        <v>2023</v>
      </c>
      <c r="C508" t="s">
        <v>1195</v>
      </c>
      <c r="D508" t="s">
        <v>21</v>
      </c>
      <c r="E508" t="s">
        <v>1245</v>
      </c>
      <c r="F508" t="s">
        <v>23</v>
      </c>
      <c r="G508" t="s">
        <v>24</v>
      </c>
      <c r="H508">
        <v>1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f t="shared" si="21"/>
        <v>3</v>
      </c>
      <c r="U508">
        <f t="shared" si="22"/>
        <v>0</v>
      </c>
      <c r="V508" t="b">
        <f t="shared" si="23"/>
        <v>0</v>
      </c>
    </row>
    <row r="509" spans="1:22" x14ac:dyDescent="0.3">
      <c r="A509" t="s">
        <v>1246</v>
      </c>
      <c r="B509">
        <v>2023</v>
      </c>
      <c r="C509" t="s">
        <v>347</v>
      </c>
      <c r="D509" t="s">
        <v>323</v>
      </c>
      <c r="E509" t="s">
        <v>1247</v>
      </c>
      <c r="F509" t="s">
        <v>23</v>
      </c>
      <c r="G509" t="s">
        <v>24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f t="shared" si="21"/>
        <v>3</v>
      </c>
      <c r="U509">
        <f t="shared" si="22"/>
        <v>0</v>
      </c>
      <c r="V509" t="b">
        <f t="shared" si="23"/>
        <v>0</v>
      </c>
    </row>
    <row r="510" spans="1:22" x14ac:dyDescent="0.3">
      <c r="A510" t="s">
        <v>1248</v>
      </c>
      <c r="B510">
        <v>2023</v>
      </c>
      <c r="C510" t="s">
        <v>1225</v>
      </c>
      <c r="D510" t="s">
        <v>21</v>
      </c>
      <c r="E510" t="s">
        <v>1249</v>
      </c>
      <c r="F510" t="s">
        <v>23</v>
      </c>
      <c r="G510" t="s">
        <v>24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f t="shared" si="21"/>
        <v>2</v>
      </c>
      <c r="U510">
        <f t="shared" si="22"/>
        <v>0</v>
      </c>
      <c r="V510" t="b">
        <f t="shared" si="23"/>
        <v>0</v>
      </c>
    </row>
    <row r="511" spans="1:22" x14ac:dyDescent="0.3">
      <c r="A511" t="s">
        <v>1250</v>
      </c>
      <c r="B511">
        <v>2023</v>
      </c>
      <c r="C511" t="s">
        <v>53</v>
      </c>
      <c r="D511" t="s">
        <v>29</v>
      </c>
      <c r="E511" t="s">
        <v>1251</v>
      </c>
      <c r="F511" t="s">
        <v>31</v>
      </c>
      <c r="G511" t="s">
        <v>24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f t="shared" si="21"/>
        <v>2</v>
      </c>
      <c r="U511">
        <f t="shared" si="22"/>
        <v>0</v>
      </c>
      <c r="V511" t="b">
        <f t="shared" si="23"/>
        <v>0</v>
      </c>
    </row>
    <row r="512" spans="1:22" x14ac:dyDescent="0.3">
      <c r="A512" t="s">
        <v>1252</v>
      </c>
      <c r="B512">
        <v>2023</v>
      </c>
      <c r="C512" t="s">
        <v>28</v>
      </c>
      <c r="D512" t="s">
        <v>29</v>
      </c>
      <c r="E512" t="s">
        <v>1253</v>
      </c>
      <c r="F512" t="s">
        <v>31</v>
      </c>
      <c r="G512" t="s">
        <v>24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f t="shared" si="21"/>
        <v>2</v>
      </c>
      <c r="U512">
        <f t="shared" si="22"/>
        <v>0</v>
      </c>
      <c r="V512" t="b">
        <f t="shared" si="23"/>
        <v>0</v>
      </c>
    </row>
    <row r="513" spans="1:22" x14ac:dyDescent="0.3">
      <c r="A513" t="s">
        <v>1254</v>
      </c>
      <c r="B513">
        <v>2023</v>
      </c>
      <c r="C513" t="s">
        <v>1255</v>
      </c>
      <c r="D513" t="s">
        <v>21</v>
      </c>
      <c r="E513" t="s">
        <v>1256</v>
      </c>
      <c r="F513" t="s">
        <v>35</v>
      </c>
      <c r="G513" t="s">
        <v>24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f t="shared" si="21"/>
        <v>2</v>
      </c>
      <c r="U513">
        <f t="shared" si="22"/>
        <v>0</v>
      </c>
      <c r="V513" t="b">
        <f t="shared" si="23"/>
        <v>0</v>
      </c>
    </row>
    <row r="514" spans="1:22" x14ac:dyDescent="0.3">
      <c r="A514" t="s">
        <v>1257</v>
      </c>
      <c r="B514">
        <v>2023</v>
      </c>
      <c r="C514" t="s">
        <v>1203</v>
      </c>
      <c r="D514" t="s">
        <v>21</v>
      </c>
      <c r="E514" t="s">
        <v>1258</v>
      </c>
      <c r="F514" t="s">
        <v>23</v>
      </c>
      <c r="G514" t="s">
        <v>24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f t="shared" si="21"/>
        <v>3</v>
      </c>
      <c r="U514">
        <f t="shared" si="22"/>
        <v>0</v>
      </c>
      <c r="V514" t="b">
        <f t="shared" si="23"/>
        <v>0</v>
      </c>
    </row>
    <row r="515" spans="1:22" x14ac:dyDescent="0.3">
      <c r="A515" t="s">
        <v>1259</v>
      </c>
      <c r="B515">
        <v>2023</v>
      </c>
      <c r="C515" t="s">
        <v>1260</v>
      </c>
      <c r="D515" t="s">
        <v>21</v>
      </c>
      <c r="E515" t="s">
        <v>1261</v>
      </c>
      <c r="F515" t="s">
        <v>35</v>
      </c>
      <c r="G515" t="s">
        <v>24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f t="shared" ref="T515:T578" si="24">SUM(H515:M515)</f>
        <v>3</v>
      </c>
      <c r="U515">
        <f t="shared" ref="U515:U578" si="25">SUM(N515:R515)</f>
        <v>1</v>
      </c>
      <c r="V515" t="b">
        <f t="shared" ref="V515:V578" si="26">T515&gt;4</f>
        <v>0</v>
      </c>
    </row>
    <row r="516" spans="1:22" x14ac:dyDescent="0.3">
      <c r="A516" t="s">
        <v>1262</v>
      </c>
      <c r="B516">
        <v>2023</v>
      </c>
      <c r="C516" t="s">
        <v>322</v>
      </c>
      <c r="D516" t="s">
        <v>323</v>
      </c>
      <c r="E516" t="s">
        <v>1263</v>
      </c>
      <c r="F516" t="s">
        <v>23</v>
      </c>
      <c r="G516" t="s">
        <v>24</v>
      </c>
      <c r="H516">
        <v>1</v>
      </c>
      <c r="I516">
        <v>1</v>
      </c>
      <c r="J516">
        <v>0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f t="shared" si="24"/>
        <v>5</v>
      </c>
      <c r="U516">
        <f t="shared" si="25"/>
        <v>0</v>
      </c>
      <c r="V516" t="b">
        <f t="shared" si="26"/>
        <v>1</v>
      </c>
    </row>
    <row r="517" spans="1:22" x14ac:dyDescent="0.3">
      <c r="A517" t="s">
        <v>1264</v>
      </c>
      <c r="B517">
        <v>2023</v>
      </c>
      <c r="C517" t="s">
        <v>1195</v>
      </c>
      <c r="D517" t="s">
        <v>21</v>
      </c>
      <c r="E517" t="s">
        <v>1265</v>
      </c>
      <c r="F517" t="s">
        <v>23</v>
      </c>
      <c r="G517" t="s">
        <v>24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f t="shared" si="24"/>
        <v>3</v>
      </c>
      <c r="U517">
        <f t="shared" si="25"/>
        <v>0</v>
      </c>
      <c r="V517" t="b">
        <f t="shared" si="26"/>
        <v>0</v>
      </c>
    </row>
    <row r="518" spans="1:22" x14ac:dyDescent="0.3">
      <c r="A518" t="s">
        <v>1266</v>
      </c>
      <c r="B518">
        <v>2023</v>
      </c>
      <c r="C518" t="s">
        <v>1267</v>
      </c>
      <c r="D518" t="s">
        <v>21</v>
      </c>
      <c r="E518" t="s">
        <v>1268</v>
      </c>
      <c r="F518" t="s">
        <v>35</v>
      </c>
      <c r="G518" t="s">
        <v>24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f t="shared" si="24"/>
        <v>2</v>
      </c>
      <c r="U518">
        <f t="shared" si="25"/>
        <v>0</v>
      </c>
      <c r="V518" t="b">
        <f t="shared" si="26"/>
        <v>0</v>
      </c>
    </row>
    <row r="519" spans="1:22" x14ac:dyDescent="0.3">
      <c r="A519" t="s">
        <v>1269</v>
      </c>
      <c r="B519">
        <v>2023</v>
      </c>
      <c r="C519" t="s">
        <v>1270</v>
      </c>
      <c r="D519" t="s">
        <v>21</v>
      </c>
      <c r="E519" t="s">
        <v>1271</v>
      </c>
      <c r="F519" t="s">
        <v>35</v>
      </c>
      <c r="G519" t="s">
        <v>24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f t="shared" si="24"/>
        <v>3</v>
      </c>
      <c r="U519">
        <f t="shared" si="25"/>
        <v>0</v>
      </c>
      <c r="V519" t="b">
        <f t="shared" si="26"/>
        <v>0</v>
      </c>
    </row>
    <row r="520" spans="1:22" x14ac:dyDescent="0.3">
      <c r="A520" t="s">
        <v>1272</v>
      </c>
      <c r="B520">
        <v>2023</v>
      </c>
      <c r="C520" t="s">
        <v>1270</v>
      </c>
      <c r="D520" t="s">
        <v>21</v>
      </c>
      <c r="E520" t="s">
        <v>1273</v>
      </c>
      <c r="F520" t="s">
        <v>35</v>
      </c>
      <c r="G520" t="s">
        <v>24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f t="shared" si="24"/>
        <v>2</v>
      </c>
      <c r="U520">
        <f t="shared" si="25"/>
        <v>0</v>
      </c>
      <c r="V520" t="b">
        <f t="shared" si="26"/>
        <v>0</v>
      </c>
    </row>
    <row r="521" spans="1:22" x14ac:dyDescent="0.3">
      <c r="A521" t="s">
        <v>1274</v>
      </c>
      <c r="B521">
        <v>2023</v>
      </c>
      <c r="C521" t="s">
        <v>53</v>
      </c>
      <c r="D521" t="s">
        <v>29</v>
      </c>
      <c r="E521" t="s">
        <v>1275</v>
      </c>
      <c r="F521" t="s">
        <v>31</v>
      </c>
      <c r="G521" t="s">
        <v>24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f t="shared" si="24"/>
        <v>3</v>
      </c>
      <c r="U521">
        <f t="shared" si="25"/>
        <v>1</v>
      </c>
      <c r="V521" t="b">
        <f t="shared" si="26"/>
        <v>0</v>
      </c>
    </row>
    <row r="522" spans="1:22" x14ac:dyDescent="0.3">
      <c r="A522" t="s">
        <v>1276</v>
      </c>
      <c r="B522">
        <v>2023</v>
      </c>
      <c r="C522" t="s">
        <v>1203</v>
      </c>
      <c r="D522" t="s">
        <v>21</v>
      </c>
      <c r="E522" t="s">
        <v>1277</v>
      </c>
      <c r="F522" t="s">
        <v>23</v>
      </c>
      <c r="G522" t="s">
        <v>24</v>
      </c>
      <c r="H522">
        <v>1</v>
      </c>
      <c r="I522">
        <v>1</v>
      </c>
      <c r="J522">
        <v>0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f t="shared" si="24"/>
        <v>5</v>
      </c>
      <c r="U522">
        <f t="shared" si="25"/>
        <v>1</v>
      </c>
      <c r="V522" t="b">
        <f t="shared" si="26"/>
        <v>1</v>
      </c>
    </row>
    <row r="523" spans="1:22" x14ac:dyDescent="0.3">
      <c r="A523" t="s">
        <v>1278</v>
      </c>
      <c r="B523">
        <v>2023</v>
      </c>
      <c r="C523" t="s">
        <v>1209</v>
      </c>
      <c r="D523" t="s">
        <v>21</v>
      </c>
      <c r="E523" t="s">
        <v>1279</v>
      </c>
      <c r="F523" t="s">
        <v>35</v>
      </c>
      <c r="G523" t="s">
        <v>24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f t="shared" si="24"/>
        <v>3</v>
      </c>
      <c r="U523">
        <f t="shared" si="25"/>
        <v>1</v>
      </c>
      <c r="V523" t="b">
        <f t="shared" si="26"/>
        <v>0</v>
      </c>
    </row>
    <row r="524" spans="1:22" x14ac:dyDescent="0.3">
      <c r="A524" t="s">
        <v>1280</v>
      </c>
      <c r="B524">
        <v>2023</v>
      </c>
      <c r="C524" t="s">
        <v>1270</v>
      </c>
      <c r="D524" t="s">
        <v>21</v>
      </c>
      <c r="E524" t="s">
        <v>1281</v>
      </c>
      <c r="F524" t="s">
        <v>35</v>
      </c>
      <c r="G524" t="s">
        <v>24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f t="shared" si="24"/>
        <v>2</v>
      </c>
      <c r="U524">
        <f t="shared" si="25"/>
        <v>0</v>
      </c>
      <c r="V524" t="b">
        <f t="shared" si="26"/>
        <v>0</v>
      </c>
    </row>
    <row r="525" spans="1:22" x14ac:dyDescent="0.3">
      <c r="A525" t="s">
        <v>1282</v>
      </c>
      <c r="B525">
        <v>2023</v>
      </c>
      <c r="C525" t="s">
        <v>48</v>
      </c>
      <c r="D525" t="s">
        <v>29</v>
      </c>
      <c r="E525" t="s">
        <v>1283</v>
      </c>
      <c r="F525" t="s">
        <v>31</v>
      </c>
      <c r="G525" t="s">
        <v>24</v>
      </c>
      <c r="H525">
        <v>1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f t="shared" si="24"/>
        <v>3</v>
      </c>
      <c r="U525">
        <f t="shared" si="25"/>
        <v>0</v>
      </c>
      <c r="V525" t="b">
        <f t="shared" si="26"/>
        <v>0</v>
      </c>
    </row>
    <row r="526" spans="1:22" x14ac:dyDescent="0.3">
      <c r="A526" t="s">
        <v>1284</v>
      </c>
      <c r="B526">
        <v>2023</v>
      </c>
      <c r="C526" t="s">
        <v>1203</v>
      </c>
      <c r="D526" t="s">
        <v>21</v>
      </c>
      <c r="E526" t="s">
        <v>1285</v>
      </c>
      <c r="F526" t="s">
        <v>23</v>
      </c>
      <c r="G526" t="s">
        <v>24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f t="shared" si="24"/>
        <v>3</v>
      </c>
      <c r="U526">
        <f t="shared" si="25"/>
        <v>0</v>
      </c>
      <c r="V526" t="b">
        <f t="shared" si="26"/>
        <v>0</v>
      </c>
    </row>
    <row r="527" spans="1:22" x14ac:dyDescent="0.3">
      <c r="A527" t="s">
        <v>1286</v>
      </c>
      <c r="B527">
        <v>2023</v>
      </c>
      <c r="C527" t="s">
        <v>37</v>
      </c>
      <c r="D527" t="s">
        <v>29</v>
      </c>
      <c r="E527" t="s">
        <v>1287</v>
      </c>
      <c r="F527" t="s">
        <v>39</v>
      </c>
      <c r="G527" t="s">
        <v>24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f t="shared" si="24"/>
        <v>3</v>
      </c>
      <c r="U527">
        <f t="shared" si="25"/>
        <v>1</v>
      </c>
      <c r="V527" t="b">
        <f t="shared" si="26"/>
        <v>0</v>
      </c>
    </row>
    <row r="528" spans="1:22" x14ac:dyDescent="0.3">
      <c r="A528" t="s">
        <v>1288</v>
      </c>
      <c r="B528">
        <v>2023</v>
      </c>
      <c r="C528" t="s">
        <v>1289</v>
      </c>
      <c r="D528" t="s">
        <v>21</v>
      </c>
      <c r="E528" t="s">
        <v>1290</v>
      </c>
      <c r="F528" t="s">
        <v>35</v>
      </c>
      <c r="G528" t="s">
        <v>24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f t="shared" si="24"/>
        <v>2</v>
      </c>
      <c r="U528">
        <f t="shared" si="25"/>
        <v>0</v>
      </c>
      <c r="V528" t="b">
        <f t="shared" si="26"/>
        <v>0</v>
      </c>
    </row>
    <row r="529" spans="1:22" x14ac:dyDescent="0.3">
      <c r="A529" t="s">
        <v>1291</v>
      </c>
      <c r="B529">
        <v>2023</v>
      </c>
      <c r="C529" t="s">
        <v>1232</v>
      </c>
      <c r="D529" t="s">
        <v>21</v>
      </c>
      <c r="E529" t="s">
        <v>1292</v>
      </c>
      <c r="F529" t="s">
        <v>35</v>
      </c>
      <c r="G529" t="s">
        <v>24</v>
      </c>
      <c r="H529">
        <v>0</v>
      </c>
      <c r="I529">
        <v>0</v>
      </c>
      <c r="J529">
        <v>1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f t="shared" si="24"/>
        <v>3</v>
      </c>
      <c r="U529">
        <f t="shared" si="25"/>
        <v>0</v>
      </c>
      <c r="V529" t="b">
        <f t="shared" si="26"/>
        <v>0</v>
      </c>
    </row>
    <row r="530" spans="1:22" x14ac:dyDescent="0.3">
      <c r="A530" t="s">
        <v>1293</v>
      </c>
      <c r="B530">
        <v>2023</v>
      </c>
      <c r="C530" t="s">
        <v>1294</v>
      </c>
      <c r="D530" t="s">
        <v>21</v>
      </c>
      <c r="E530" t="s">
        <v>1295</v>
      </c>
      <c r="F530" t="s">
        <v>23</v>
      </c>
      <c r="G530" t="s">
        <v>24</v>
      </c>
      <c r="H530">
        <v>1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f t="shared" si="24"/>
        <v>3</v>
      </c>
      <c r="U530">
        <f t="shared" si="25"/>
        <v>0</v>
      </c>
      <c r="V530" t="b">
        <f t="shared" si="26"/>
        <v>0</v>
      </c>
    </row>
    <row r="531" spans="1:22" x14ac:dyDescent="0.3">
      <c r="A531" t="s">
        <v>1296</v>
      </c>
      <c r="B531">
        <v>2023</v>
      </c>
      <c r="C531" t="s">
        <v>1195</v>
      </c>
      <c r="D531" t="s">
        <v>21</v>
      </c>
      <c r="E531" t="s">
        <v>1297</v>
      </c>
      <c r="F531" t="s">
        <v>23</v>
      </c>
      <c r="G531" t="s">
        <v>24</v>
      </c>
      <c r="H531">
        <v>1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f t="shared" si="24"/>
        <v>3</v>
      </c>
      <c r="U531">
        <f t="shared" si="25"/>
        <v>0</v>
      </c>
      <c r="V531" t="b">
        <f t="shared" si="26"/>
        <v>0</v>
      </c>
    </row>
    <row r="532" spans="1:22" x14ac:dyDescent="0.3">
      <c r="A532" t="s">
        <v>1298</v>
      </c>
      <c r="B532">
        <v>2023</v>
      </c>
      <c r="C532" t="s">
        <v>53</v>
      </c>
      <c r="D532" t="s">
        <v>29</v>
      </c>
      <c r="E532" t="s">
        <v>1299</v>
      </c>
      <c r="F532" t="s">
        <v>31</v>
      </c>
      <c r="G532" t="s">
        <v>24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f t="shared" si="24"/>
        <v>2</v>
      </c>
      <c r="U532">
        <f t="shared" si="25"/>
        <v>0</v>
      </c>
      <c r="V532" t="b">
        <f t="shared" si="26"/>
        <v>0</v>
      </c>
    </row>
    <row r="533" spans="1:22" x14ac:dyDescent="0.3">
      <c r="A533" t="s">
        <v>1300</v>
      </c>
      <c r="B533">
        <v>2023</v>
      </c>
      <c r="C533" t="s">
        <v>1209</v>
      </c>
      <c r="D533" t="s">
        <v>21</v>
      </c>
      <c r="E533" t="s">
        <v>1301</v>
      </c>
      <c r="F533" t="s">
        <v>35</v>
      </c>
      <c r="G533" t="s">
        <v>24</v>
      </c>
      <c r="H533">
        <v>0</v>
      </c>
      <c r="I533">
        <v>0</v>
      </c>
      <c r="J533">
        <v>1</v>
      </c>
      <c r="K533">
        <v>0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f t="shared" si="24"/>
        <v>3</v>
      </c>
      <c r="U533">
        <f t="shared" si="25"/>
        <v>0</v>
      </c>
      <c r="V533" t="b">
        <f t="shared" si="26"/>
        <v>0</v>
      </c>
    </row>
    <row r="534" spans="1:22" x14ac:dyDescent="0.3">
      <c r="A534" t="s">
        <v>1302</v>
      </c>
      <c r="B534">
        <v>2023</v>
      </c>
      <c r="C534" t="s">
        <v>1303</v>
      </c>
      <c r="D534" t="s">
        <v>21</v>
      </c>
      <c r="E534" t="s">
        <v>1304</v>
      </c>
      <c r="F534" t="s">
        <v>23</v>
      </c>
      <c r="G534" t="s">
        <v>24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f t="shared" si="24"/>
        <v>2</v>
      </c>
      <c r="U534">
        <f t="shared" si="25"/>
        <v>0</v>
      </c>
      <c r="V534" t="b">
        <f t="shared" si="26"/>
        <v>0</v>
      </c>
    </row>
    <row r="535" spans="1:22" x14ac:dyDescent="0.3">
      <c r="A535" t="s">
        <v>1305</v>
      </c>
      <c r="B535">
        <v>2023</v>
      </c>
      <c r="C535" t="s">
        <v>1306</v>
      </c>
      <c r="D535" t="s">
        <v>21</v>
      </c>
      <c r="E535" t="s">
        <v>1307</v>
      </c>
      <c r="F535" t="s">
        <v>35</v>
      </c>
      <c r="G535" t="s">
        <v>24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f t="shared" si="24"/>
        <v>2</v>
      </c>
      <c r="U535">
        <f t="shared" si="25"/>
        <v>0</v>
      </c>
      <c r="V535" t="b">
        <f t="shared" si="26"/>
        <v>0</v>
      </c>
    </row>
    <row r="536" spans="1:22" x14ac:dyDescent="0.3">
      <c r="A536" t="s">
        <v>1308</v>
      </c>
      <c r="B536">
        <v>2023</v>
      </c>
      <c r="C536" t="s">
        <v>1195</v>
      </c>
      <c r="D536" t="s">
        <v>21</v>
      </c>
      <c r="E536" t="s">
        <v>1309</v>
      </c>
      <c r="F536" t="s">
        <v>23</v>
      </c>
      <c r="G536" t="s">
        <v>24</v>
      </c>
      <c r="H536">
        <v>1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f t="shared" si="24"/>
        <v>3</v>
      </c>
      <c r="U536">
        <f t="shared" si="25"/>
        <v>0</v>
      </c>
      <c r="V536" t="b">
        <f t="shared" si="26"/>
        <v>0</v>
      </c>
    </row>
    <row r="537" spans="1:22" x14ac:dyDescent="0.3">
      <c r="A537" t="s">
        <v>1310</v>
      </c>
      <c r="B537">
        <v>2023</v>
      </c>
      <c r="C537" t="s">
        <v>1311</v>
      </c>
      <c r="D537" t="s">
        <v>21</v>
      </c>
      <c r="E537" t="s">
        <v>1312</v>
      </c>
      <c r="F537" t="s">
        <v>35</v>
      </c>
      <c r="G537" t="s">
        <v>24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f t="shared" si="24"/>
        <v>2</v>
      </c>
      <c r="U537">
        <f t="shared" si="25"/>
        <v>0</v>
      </c>
      <c r="V537" t="b">
        <f t="shared" si="26"/>
        <v>0</v>
      </c>
    </row>
    <row r="538" spans="1:22" x14ac:dyDescent="0.3">
      <c r="A538" t="s">
        <v>1313</v>
      </c>
      <c r="B538">
        <v>2023</v>
      </c>
      <c r="C538" t="s">
        <v>37</v>
      </c>
      <c r="D538" t="s">
        <v>29</v>
      </c>
      <c r="E538" t="s">
        <v>1314</v>
      </c>
      <c r="F538" t="s">
        <v>39</v>
      </c>
      <c r="G538" t="s">
        <v>24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f t="shared" si="24"/>
        <v>2</v>
      </c>
      <c r="U538">
        <f t="shared" si="25"/>
        <v>0</v>
      </c>
      <c r="V538" t="b">
        <f t="shared" si="26"/>
        <v>0</v>
      </c>
    </row>
    <row r="539" spans="1:22" x14ac:dyDescent="0.3">
      <c r="A539" t="s">
        <v>1315</v>
      </c>
      <c r="B539">
        <v>2023</v>
      </c>
      <c r="C539" t="s">
        <v>48</v>
      </c>
      <c r="D539" t="s">
        <v>29</v>
      </c>
      <c r="E539" t="s">
        <v>1316</v>
      </c>
      <c r="F539" t="s">
        <v>31</v>
      </c>
      <c r="G539" t="s">
        <v>24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f t="shared" si="24"/>
        <v>3</v>
      </c>
      <c r="U539">
        <f t="shared" si="25"/>
        <v>0</v>
      </c>
      <c r="V539" t="b">
        <f t="shared" si="26"/>
        <v>0</v>
      </c>
    </row>
    <row r="540" spans="1:22" x14ac:dyDescent="0.3">
      <c r="A540" t="s">
        <v>1317</v>
      </c>
      <c r="B540">
        <v>2023</v>
      </c>
      <c r="C540" t="s">
        <v>48</v>
      </c>
      <c r="D540" t="s">
        <v>29</v>
      </c>
      <c r="E540" t="s">
        <v>1318</v>
      </c>
      <c r="F540" t="s">
        <v>31</v>
      </c>
      <c r="G540" t="s">
        <v>24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f t="shared" si="24"/>
        <v>2</v>
      </c>
      <c r="U540">
        <f t="shared" si="25"/>
        <v>0</v>
      </c>
      <c r="V540" t="b">
        <f t="shared" si="26"/>
        <v>0</v>
      </c>
    </row>
    <row r="541" spans="1:22" x14ac:dyDescent="0.3">
      <c r="A541" t="s">
        <v>1319</v>
      </c>
      <c r="B541">
        <v>2023</v>
      </c>
      <c r="C541" t="s">
        <v>1225</v>
      </c>
      <c r="D541" t="s">
        <v>21</v>
      </c>
      <c r="E541" t="s">
        <v>1320</v>
      </c>
      <c r="F541" t="s">
        <v>23</v>
      </c>
      <c r="G541" t="s">
        <v>24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f t="shared" si="24"/>
        <v>2</v>
      </c>
      <c r="U541">
        <f t="shared" si="25"/>
        <v>0</v>
      </c>
      <c r="V541" t="b">
        <f t="shared" si="26"/>
        <v>0</v>
      </c>
    </row>
    <row r="542" spans="1:22" x14ac:dyDescent="0.3">
      <c r="A542" t="s">
        <v>1321</v>
      </c>
      <c r="B542">
        <v>2023</v>
      </c>
      <c r="C542" t="s">
        <v>1270</v>
      </c>
      <c r="D542" t="s">
        <v>21</v>
      </c>
      <c r="E542" t="s">
        <v>1322</v>
      </c>
      <c r="F542" t="s">
        <v>35</v>
      </c>
      <c r="G542" t="s">
        <v>24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f t="shared" si="24"/>
        <v>3</v>
      </c>
      <c r="U542">
        <f t="shared" si="25"/>
        <v>1</v>
      </c>
      <c r="V542" t="b">
        <f t="shared" si="26"/>
        <v>0</v>
      </c>
    </row>
    <row r="543" spans="1:22" x14ac:dyDescent="0.3">
      <c r="A543" t="s">
        <v>1323</v>
      </c>
      <c r="B543">
        <v>2023</v>
      </c>
      <c r="C543" t="s">
        <v>28</v>
      </c>
      <c r="D543" t="s">
        <v>29</v>
      </c>
      <c r="E543" t="s">
        <v>1324</v>
      </c>
      <c r="F543" t="s">
        <v>31</v>
      </c>
      <c r="G543" t="s">
        <v>24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f t="shared" si="24"/>
        <v>3</v>
      </c>
      <c r="U543">
        <f t="shared" si="25"/>
        <v>1</v>
      </c>
      <c r="V543" t="b">
        <f t="shared" si="26"/>
        <v>0</v>
      </c>
    </row>
    <row r="544" spans="1:22" x14ac:dyDescent="0.3">
      <c r="A544" t="s">
        <v>1325</v>
      </c>
      <c r="B544">
        <v>2023</v>
      </c>
      <c r="C544" t="s">
        <v>1270</v>
      </c>
      <c r="D544" t="s">
        <v>21</v>
      </c>
      <c r="E544" t="s">
        <v>1326</v>
      </c>
      <c r="F544" t="s">
        <v>35</v>
      </c>
      <c r="G544" t="s">
        <v>24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f t="shared" si="24"/>
        <v>2</v>
      </c>
      <c r="U544">
        <f t="shared" si="25"/>
        <v>1</v>
      </c>
      <c r="V544" t="b">
        <f t="shared" si="26"/>
        <v>0</v>
      </c>
    </row>
    <row r="545" spans="1:22" x14ac:dyDescent="0.3">
      <c r="A545" t="s">
        <v>1327</v>
      </c>
      <c r="B545">
        <v>2023</v>
      </c>
      <c r="C545" t="s">
        <v>1209</v>
      </c>
      <c r="D545" t="s">
        <v>21</v>
      </c>
      <c r="E545" t="s">
        <v>1328</v>
      </c>
      <c r="F545" t="s">
        <v>35</v>
      </c>
      <c r="G545" t="s">
        <v>24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f t="shared" si="24"/>
        <v>2</v>
      </c>
      <c r="U545">
        <f t="shared" si="25"/>
        <v>0</v>
      </c>
      <c r="V545" t="b">
        <f t="shared" si="26"/>
        <v>0</v>
      </c>
    </row>
    <row r="546" spans="1:22" x14ac:dyDescent="0.3">
      <c r="A546" t="s">
        <v>1329</v>
      </c>
      <c r="B546">
        <v>2023</v>
      </c>
      <c r="C546" t="s">
        <v>1270</v>
      </c>
      <c r="D546" t="s">
        <v>21</v>
      </c>
      <c r="E546" t="s">
        <v>1330</v>
      </c>
      <c r="F546" t="s">
        <v>35</v>
      </c>
      <c r="G546" t="s">
        <v>24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f t="shared" si="24"/>
        <v>2</v>
      </c>
      <c r="U546">
        <f t="shared" si="25"/>
        <v>0</v>
      </c>
      <c r="V546" t="b">
        <f t="shared" si="26"/>
        <v>0</v>
      </c>
    </row>
    <row r="547" spans="1:22" x14ac:dyDescent="0.3">
      <c r="A547" t="s">
        <v>1331</v>
      </c>
      <c r="B547">
        <v>2023</v>
      </c>
      <c r="C547" t="s">
        <v>1332</v>
      </c>
      <c r="D547" t="s">
        <v>21</v>
      </c>
      <c r="E547" t="s">
        <v>1333</v>
      </c>
      <c r="F547" t="s">
        <v>23</v>
      </c>
      <c r="G547" t="s">
        <v>24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f t="shared" si="24"/>
        <v>2</v>
      </c>
      <c r="U547">
        <f t="shared" si="25"/>
        <v>0</v>
      </c>
      <c r="V547" t="b">
        <f t="shared" si="26"/>
        <v>0</v>
      </c>
    </row>
    <row r="548" spans="1:22" x14ac:dyDescent="0.3">
      <c r="A548" t="s">
        <v>1334</v>
      </c>
      <c r="B548">
        <v>2023</v>
      </c>
      <c r="C548" t="s">
        <v>1335</v>
      </c>
      <c r="D548" t="s">
        <v>21</v>
      </c>
      <c r="E548" t="s">
        <v>1336</v>
      </c>
      <c r="F548" t="s">
        <v>35</v>
      </c>
      <c r="G548" t="s">
        <v>24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f t="shared" si="24"/>
        <v>2</v>
      </c>
      <c r="U548">
        <f t="shared" si="25"/>
        <v>0</v>
      </c>
      <c r="V548" t="b">
        <f t="shared" si="26"/>
        <v>0</v>
      </c>
    </row>
    <row r="549" spans="1:22" x14ac:dyDescent="0.3">
      <c r="A549" t="s">
        <v>1337</v>
      </c>
      <c r="B549">
        <v>2023</v>
      </c>
      <c r="C549" t="s">
        <v>1306</v>
      </c>
      <c r="D549" t="s">
        <v>21</v>
      </c>
      <c r="E549" t="s">
        <v>1338</v>
      </c>
      <c r="F549" t="s">
        <v>35</v>
      </c>
      <c r="G549" t="s">
        <v>24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f t="shared" si="24"/>
        <v>2</v>
      </c>
      <c r="U549">
        <f t="shared" si="25"/>
        <v>0</v>
      </c>
      <c r="V549" t="b">
        <f t="shared" si="26"/>
        <v>0</v>
      </c>
    </row>
    <row r="550" spans="1:22" x14ac:dyDescent="0.3">
      <c r="A550" t="s">
        <v>1339</v>
      </c>
      <c r="B550">
        <v>2023</v>
      </c>
      <c r="C550" t="s">
        <v>1340</v>
      </c>
      <c r="D550" t="s">
        <v>323</v>
      </c>
      <c r="E550" t="s">
        <v>1341</v>
      </c>
      <c r="F550" t="s">
        <v>23</v>
      </c>
      <c r="G550" t="s">
        <v>24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f t="shared" si="24"/>
        <v>5</v>
      </c>
      <c r="U550">
        <f t="shared" si="25"/>
        <v>0</v>
      </c>
      <c r="V550" t="b">
        <f t="shared" si="26"/>
        <v>1</v>
      </c>
    </row>
    <row r="551" spans="1:22" x14ac:dyDescent="0.3">
      <c r="A551" t="s">
        <v>1342</v>
      </c>
      <c r="B551">
        <v>2023</v>
      </c>
      <c r="C551" t="s">
        <v>1343</v>
      </c>
      <c r="D551" t="s">
        <v>21</v>
      </c>
      <c r="E551" t="s">
        <v>1344</v>
      </c>
      <c r="F551" t="s">
        <v>23</v>
      </c>
      <c r="G551" t="s">
        <v>24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f t="shared" si="24"/>
        <v>3</v>
      </c>
      <c r="U551">
        <f t="shared" si="25"/>
        <v>1</v>
      </c>
      <c r="V551" t="b">
        <f t="shared" si="26"/>
        <v>0</v>
      </c>
    </row>
    <row r="552" spans="1:22" x14ac:dyDescent="0.3">
      <c r="A552" t="s">
        <v>1345</v>
      </c>
      <c r="B552">
        <v>2023</v>
      </c>
      <c r="C552" t="s">
        <v>133</v>
      </c>
      <c r="D552" t="s">
        <v>29</v>
      </c>
      <c r="E552" t="s">
        <v>1346</v>
      </c>
      <c r="F552" t="s">
        <v>39</v>
      </c>
      <c r="G552" t="s">
        <v>24</v>
      </c>
      <c r="H552">
        <v>1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f t="shared" si="24"/>
        <v>5</v>
      </c>
      <c r="U552">
        <f t="shared" si="25"/>
        <v>0</v>
      </c>
      <c r="V552" t="b">
        <f t="shared" si="26"/>
        <v>1</v>
      </c>
    </row>
    <row r="553" spans="1:22" x14ac:dyDescent="0.3">
      <c r="A553" t="s">
        <v>1347</v>
      </c>
      <c r="B553">
        <v>2023</v>
      </c>
      <c r="C553" t="s">
        <v>133</v>
      </c>
      <c r="D553" t="s">
        <v>29</v>
      </c>
      <c r="E553" t="s">
        <v>1348</v>
      </c>
      <c r="F553" t="s">
        <v>39</v>
      </c>
      <c r="G553" t="s">
        <v>24</v>
      </c>
      <c r="H553">
        <v>1</v>
      </c>
      <c r="I553">
        <v>1</v>
      </c>
      <c r="J553">
        <v>0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f t="shared" si="24"/>
        <v>5</v>
      </c>
      <c r="U553">
        <f t="shared" si="25"/>
        <v>0</v>
      </c>
      <c r="V553" t="b">
        <f t="shared" si="26"/>
        <v>1</v>
      </c>
    </row>
    <row r="554" spans="1:22" x14ac:dyDescent="0.3">
      <c r="A554" t="s">
        <v>1349</v>
      </c>
      <c r="B554">
        <v>2023</v>
      </c>
      <c r="C554" t="s">
        <v>1350</v>
      </c>
      <c r="D554" t="s">
        <v>323</v>
      </c>
      <c r="E554" t="s">
        <v>1351</v>
      </c>
      <c r="F554" t="s">
        <v>23</v>
      </c>
      <c r="G554" t="s">
        <v>24</v>
      </c>
      <c r="H554">
        <v>1</v>
      </c>
      <c r="I554">
        <v>1</v>
      </c>
      <c r="J554">
        <v>0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f t="shared" si="24"/>
        <v>5</v>
      </c>
      <c r="U554">
        <f t="shared" si="25"/>
        <v>0</v>
      </c>
      <c r="V554" t="b">
        <f t="shared" si="26"/>
        <v>1</v>
      </c>
    </row>
    <row r="555" spans="1:22" x14ac:dyDescent="0.3">
      <c r="A555" t="s">
        <v>1352</v>
      </c>
      <c r="B555">
        <v>2023</v>
      </c>
      <c r="C555" t="s">
        <v>129</v>
      </c>
      <c r="D555" t="s">
        <v>130</v>
      </c>
      <c r="E555" t="s">
        <v>1353</v>
      </c>
      <c r="F555" t="s">
        <v>39</v>
      </c>
      <c r="G555" t="s">
        <v>24</v>
      </c>
      <c r="H555">
        <v>1</v>
      </c>
      <c r="I555">
        <v>1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f t="shared" si="24"/>
        <v>5</v>
      </c>
      <c r="U555">
        <f t="shared" si="25"/>
        <v>0</v>
      </c>
      <c r="V555" t="b">
        <f t="shared" si="26"/>
        <v>1</v>
      </c>
    </row>
    <row r="556" spans="1:22" x14ac:dyDescent="0.3">
      <c r="A556" t="s">
        <v>1354</v>
      </c>
      <c r="B556">
        <v>2023</v>
      </c>
      <c r="C556" t="s">
        <v>1355</v>
      </c>
      <c r="D556" t="s">
        <v>21</v>
      </c>
      <c r="E556" t="s">
        <v>1356</v>
      </c>
      <c r="F556" t="s">
        <v>23</v>
      </c>
      <c r="G556" t="s">
        <v>24</v>
      </c>
      <c r="H556">
        <v>1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f t="shared" si="24"/>
        <v>3</v>
      </c>
      <c r="U556">
        <f t="shared" si="25"/>
        <v>0</v>
      </c>
      <c r="V556" t="b">
        <f t="shared" si="26"/>
        <v>0</v>
      </c>
    </row>
    <row r="557" spans="1:22" x14ac:dyDescent="0.3">
      <c r="A557" t="s">
        <v>1357</v>
      </c>
      <c r="B557">
        <v>2023</v>
      </c>
      <c r="C557" t="s">
        <v>133</v>
      </c>
      <c r="D557" t="s">
        <v>130</v>
      </c>
      <c r="E557" t="s">
        <v>1358</v>
      </c>
      <c r="F557" t="s">
        <v>39</v>
      </c>
      <c r="G557" t="s">
        <v>24</v>
      </c>
      <c r="H557">
        <v>1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f t="shared" si="24"/>
        <v>3</v>
      </c>
      <c r="U557">
        <f t="shared" si="25"/>
        <v>0</v>
      </c>
      <c r="V557" t="b">
        <f t="shared" si="26"/>
        <v>0</v>
      </c>
    </row>
    <row r="558" spans="1:22" x14ac:dyDescent="0.3">
      <c r="A558" t="s">
        <v>1359</v>
      </c>
      <c r="B558">
        <v>2023</v>
      </c>
      <c r="C558" t="s">
        <v>1360</v>
      </c>
      <c r="D558" t="s">
        <v>323</v>
      </c>
      <c r="E558" t="s">
        <v>1361</v>
      </c>
      <c r="F558" t="s">
        <v>994</v>
      </c>
      <c r="G558" t="s">
        <v>24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f t="shared" si="24"/>
        <v>6</v>
      </c>
      <c r="U558">
        <f t="shared" si="25"/>
        <v>0</v>
      </c>
      <c r="V558" t="b">
        <f t="shared" si="26"/>
        <v>1</v>
      </c>
    </row>
    <row r="559" spans="1:22" x14ac:dyDescent="0.3">
      <c r="A559" t="s">
        <v>1362</v>
      </c>
      <c r="B559">
        <v>2023</v>
      </c>
      <c r="C559" t="s">
        <v>133</v>
      </c>
      <c r="D559" t="s">
        <v>29</v>
      </c>
      <c r="E559" t="s">
        <v>1363</v>
      </c>
      <c r="F559" t="s">
        <v>39</v>
      </c>
      <c r="G559" t="s">
        <v>24</v>
      </c>
      <c r="H559">
        <v>1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f t="shared" si="24"/>
        <v>5</v>
      </c>
      <c r="U559">
        <f t="shared" si="25"/>
        <v>0</v>
      </c>
      <c r="V559" t="b">
        <f t="shared" si="26"/>
        <v>1</v>
      </c>
    </row>
    <row r="560" spans="1:22" x14ac:dyDescent="0.3">
      <c r="A560" t="s">
        <v>1364</v>
      </c>
      <c r="B560">
        <v>2023</v>
      </c>
      <c r="C560" t="s">
        <v>133</v>
      </c>
      <c r="D560" t="s">
        <v>29</v>
      </c>
      <c r="E560" t="s">
        <v>1365</v>
      </c>
      <c r="F560" t="s">
        <v>39</v>
      </c>
      <c r="G560" t="s">
        <v>24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f t="shared" si="24"/>
        <v>3</v>
      </c>
      <c r="U560">
        <f t="shared" si="25"/>
        <v>0</v>
      </c>
      <c r="V560" t="b">
        <f t="shared" si="26"/>
        <v>0</v>
      </c>
    </row>
    <row r="561" spans="1:22" x14ac:dyDescent="0.3">
      <c r="A561" t="s">
        <v>1366</v>
      </c>
      <c r="B561">
        <v>2023</v>
      </c>
      <c r="C561" t="s">
        <v>1367</v>
      </c>
      <c r="D561" t="s">
        <v>21</v>
      </c>
      <c r="E561" t="s">
        <v>1368</v>
      </c>
      <c r="F561" t="s">
        <v>35</v>
      </c>
      <c r="G561" t="s">
        <v>24</v>
      </c>
      <c r="H561">
        <v>1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f t="shared" si="24"/>
        <v>3</v>
      </c>
      <c r="U561">
        <f t="shared" si="25"/>
        <v>0</v>
      </c>
      <c r="V561" t="b">
        <f t="shared" si="26"/>
        <v>0</v>
      </c>
    </row>
    <row r="562" spans="1:22" x14ac:dyDescent="0.3">
      <c r="A562" t="s">
        <v>1369</v>
      </c>
      <c r="B562">
        <v>2023</v>
      </c>
      <c r="C562" t="s">
        <v>133</v>
      </c>
      <c r="D562" t="s">
        <v>29</v>
      </c>
      <c r="E562" t="s">
        <v>1370</v>
      </c>
      <c r="F562" t="s">
        <v>39</v>
      </c>
      <c r="G562" t="s">
        <v>24</v>
      </c>
      <c r="H562">
        <v>1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f t="shared" si="24"/>
        <v>3</v>
      </c>
      <c r="U562">
        <f t="shared" si="25"/>
        <v>0</v>
      </c>
      <c r="V562" t="b">
        <f t="shared" si="26"/>
        <v>0</v>
      </c>
    </row>
    <row r="563" spans="1:22" x14ac:dyDescent="0.3">
      <c r="A563" t="s">
        <v>1371</v>
      </c>
      <c r="B563">
        <v>2023</v>
      </c>
      <c r="C563" t="s">
        <v>133</v>
      </c>
      <c r="D563" t="s">
        <v>29</v>
      </c>
      <c r="E563" t="s">
        <v>1372</v>
      </c>
      <c r="F563" t="s">
        <v>39</v>
      </c>
      <c r="G563" t="s">
        <v>24</v>
      </c>
      <c r="H563">
        <v>1</v>
      </c>
      <c r="I563">
        <v>1</v>
      </c>
      <c r="J563">
        <v>0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f t="shared" si="24"/>
        <v>5</v>
      </c>
      <c r="U563">
        <f t="shared" si="25"/>
        <v>0</v>
      </c>
      <c r="V563" t="b">
        <f t="shared" si="26"/>
        <v>1</v>
      </c>
    </row>
    <row r="564" spans="1:22" x14ac:dyDescent="0.3">
      <c r="A564" t="s">
        <v>1373</v>
      </c>
      <c r="B564">
        <v>2023</v>
      </c>
      <c r="C564" t="s">
        <v>1071</v>
      </c>
      <c r="D564" t="s">
        <v>29</v>
      </c>
      <c r="E564" t="s">
        <v>1374</v>
      </c>
      <c r="F564" t="s">
        <v>39</v>
      </c>
      <c r="G564" t="s">
        <v>24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f t="shared" si="24"/>
        <v>5</v>
      </c>
      <c r="U564">
        <f t="shared" si="25"/>
        <v>1</v>
      </c>
      <c r="V564" t="b">
        <f t="shared" si="26"/>
        <v>1</v>
      </c>
    </row>
    <row r="565" spans="1:22" x14ac:dyDescent="0.3">
      <c r="A565" t="s">
        <v>1375</v>
      </c>
      <c r="B565">
        <v>2023</v>
      </c>
      <c r="C565" t="s">
        <v>1376</v>
      </c>
      <c r="D565" t="s">
        <v>21</v>
      </c>
      <c r="E565" t="s">
        <v>1377</v>
      </c>
      <c r="F565" t="s">
        <v>23</v>
      </c>
      <c r="G565" t="s">
        <v>24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f t="shared" si="24"/>
        <v>2</v>
      </c>
      <c r="U565">
        <f t="shared" si="25"/>
        <v>0</v>
      </c>
      <c r="V565" t="b">
        <f t="shared" si="26"/>
        <v>0</v>
      </c>
    </row>
    <row r="566" spans="1:22" x14ac:dyDescent="0.3">
      <c r="A566" t="s">
        <v>1378</v>
      </c>
      <c r="B566">
        <v>2023</v>
      </c>
      <c r="C566" t="s">
        <v>1355</v>
      </c>
      <c r="D566" t="s">
        <v>21</v>
      </c>
      <c r="E566" t="s">
        <v>1379</v>
      </c>
      <c r="F566" t="s">
        <v>23</v>
      </c>
      <c r="G566" t="s">
        <v>24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f t="shared" si="24"/>
        <v>5</v>
      </c>
      <c r="U566">
        <f t="shared" si="25"/>
        <v>0</v>
      </c>
      <c r="V566" t="b">
        <f t="shared" si="26"/>
        <v>1</v>
      </c>
    </row>
    <row r="567" spans="1:22" x14ac:dyDescent="0.3">
      <c r="A567" t="s">
        <v>1380</v>
      </c>
      <c r="B567">
        <v>2023</v>
      </c>
      <c r="C567" t="s">
        <v>1381</v>
      </c>
      <c r="D567" t="s">
        <v>21</v>
      </c>
      <c r="E567" t="s">
        <v>1382</v>
      </c>
      <c r="F567" t="s">
        <v>23</v>
      </c>
      <c r="G567" t="s">
        <v>24</v>
      </c>
      <c r="H567">
        <v>1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f t="shared" si="24"/>
        <v>3</v>
      </c>
      <c r="U567">
        <f t="shared" si="25"/>
        <v>0</v>
      </c>
      <c r="V567" t="b">
        <f t="shared" si="26"/>
        <v>0</v>
      </c>
    </row>
    <row r="568" spans="1:22" x14ac:dyDescent="0.3">
      <c r="A568" t="s">
        <v>1383</v>
      </c>
      <c r="B568">
        <v>2023</v>
      </c>
      <c r="C568" t="s">
        <v>1355</v>
      </c>
      <c r="D568" t="s">
        <v>21</v>
      </c>
      <c r="E568" t="s">
        <v>1384</v>
      </c>
      <c r="F568" t="s">
        <v>23</v>
      </c>
      <c r="G568" t="s">
        <v>24</v>
      </c>
      <c r="H568">
        <v>1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f t="shared" si="24"/>
        <v>4</v>
      </c>
      <c r="U568">
        <f t="shared" si="25"/>
        <v>0</v>
      </c>
      <c r="V568" t="b">
        <f t="shared" si="26"/>
        <v>0</v>
      </c>
    </row>
    <row r="569" spans="1:22" x14ac:dyDescent="0.3">
      <c r="A569" t="s">
        <v>1385</v>
      </c>
      <c r="B569">
        <v>2023</v>
      </c>
      <c r="C569" t="s">
        <v>133</v>
      </c>
      <c r="D569" t="s">
        <v>29</v>
      </c>
      <c r="E569" t="s">
        <v>1386</v>
      </c>
      <c r="F569" t="s">
        <v>39</v>
      </c>
      <c r="G569" t="s">
        <v>24</v>
      </c>
      <c r="H569">
        <v>1</v>
      </c>
      <c r="I569">
        <v>1</v>
      </c>
      <c r="J569">
        <v>0</v>
      </c>
      <c r="K569">
        <v>1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f t="shared" si="24"/>
        <v>5</v>
      </c>
      <c r="U569">
        <f t="shared" si="25"/>
        <v>0</v>
      </c>
      <c r="V569" t="b">
        <f t="shared" si="26"/>
        <v>1</v>
      </c>
    </row>
    <row r="570" spans="1:22" x14ac:dyDescent="0.3">
      <c r="A570" t="s">
        <v>1387</v>
      </c>
      <c r="B570">
        <v>2023</v>
      </c>
      <c r="C570" t="s">
        <v>133</v>
      </c>
      <c r="D570" t="s">
        <v>29</v>
      </c>
      <c r="E570" t="s">
        <v>1388</v>
      </c>
      <c r="F570" t="s">
        <v>39</v>
      </c>
      <c r="G570" t="s">
        <v>24</v>
      </c>
      <c r="H570">
        <v>1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f t="shared" si="24"/>
        <v>3</v>
      </c>
      <c r="U570">
        <f t="shared" si="25"/>
        <v>0</v>
      </c>
      <c r="V570" t="b">
        <f t="shared" si="26"/>
        <v>0</v>
      </c>
    </row>
    <row r="571" spans="1:22" x14ac:dyDescent="0.3">
      <c r="A571" t="s">
        <v>1389</v>
      </c>
      <c r="B571">
        <v>2023</v>
      </c>
      <c r="C571" t="s">
        <v>133</v>
      </c>
      <c r="D571" t="s">
        <v>29</v>
      </c>
      <c r="E571" t="s">
        <v>1390</v>
      </c>
      <c r="F571" t="s">
        <v>39</v>
      </c>
      <c r="G571" t="s">
        <v>24</v>
      </c>
      <c r="H571">
        <v>1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f t="shared" si="24"/>
        <v>3</v>
      </c>
      <c r="U571">
        <f t="shared" si="25"/>
        <v>0</v>
      </c>
      <c r="V571" t="b">
        <f t="shared" si="26"/>
        <v>0</v>
      </c>
    </row>
    <row r="572" spans="1:22" x14ac:dyDescent="0.3">
      <c r="A572" t="s">
        <v>1391</v>
      </c>
      <c r="B572">
        <v>2023</v>
      </c>
      <c r="C572" t="s">
        <v>133</v>
      </c>
      <c r="D572" t="s">
        <v>29</v>
      </c>
      <c r="E572" t="s">
        <v>1392</v>
      </c>
      <c r="F572" t="s">
        <v>39</v>
      </c>
      <c r="G572" t="s">
        <v>24</v>
      </c>
      <c r="H572">
        <v>1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f t="shared" si="24"/>
        <v>3</v>
      </c>
      <c r="U572">
        <f t="shared" si="25"/>
        <v>0</v>
      </c>
      <c r="V572" t="b">
        <f t="shared" si="26"/>
        <v>0</v>
      </c>
    </row>
    <row r="573" spans="1:22" x14ac:dyDescent="0.3">
      <c r="A573" t="s">
        <v>1393</v>
      </c>
      <c r="B573">
        <v>2023</v>
      </c>
      <c r="C573" t="s">
        <v>133</v>
      </c>
      <c r="D573" t="s">
        <v>29</v>
      </c>
      <c r="E573" t="s">
        <v>1394</v>
      </c>
      <c r="F573" t="s">
        <v>39</v>
      </c>
      <c r="G573" t="s">
        <v>24</v>
      </c>
      <c r="H573">
        <v>1</v>
      </c>
      <c r="I573">
        <v>0</v>
      </c>
      <c r="J573">
        <v>1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f t="shared" si="24"/>
        <v>4</v>
      </c>
      <c r="U573">
        <f t="shared" si="25"/>
        <v>0</v>
      </c>
      <c r="V573" t="b">
        <f t="shared" si="26"/>
        <v>0</v>
      </c>
    </row>
    <row r="574" spans="1:22" x14ac:dyDescent="0.3">
      <c r="A574" t="s">
        <v>1395</v>
      </c>
      <c r="B574">
        <v>2023</v>
      </c>
      <c r="C574" t="s">
        <v>133</v>
      </c>
      <c r="D574" t="s">
        <v>29</v>
      </c>
      <c r="E574" t="s">
        <v>1396</v>
      </c>
      <c r="F574" t="s">
        <v>39</v>
      </c>
      <c r="G574" t="s">
        <v>24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f t="shared" si="24"/>
        <v>3</v>
      </c>
      <c r="U574">
        <f t="shared" si="25"/>
        <v>0</v>
      </c>
      <c r="V574" t="b">
        <f t="shared" si="26"/>
        <v>0</v>
      </c>
    </row>
    <row r="575" spans="1:22" x14ac:dyDescent="0.3">
      <c r="A575" t="s">
        <v>1397</v>
      </c>
      <c r="B575">
        <v>2023</v>
      </c>
      <c r="C575" t="s">
        <v>1398</v>
      </c>
      <c r="D575" t="s">
        <v>130</v>
      </c>
      <c r="E575" t="s">
        <v>1399</v>
      </c>
      <c r="F575" t="s">
        <v>39</v>
      </c>
      <c r="G575" t="s">
        <v>24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f t="shared" si="24"/>
        <v>2</v>
      </c>
      <c r="U575">
        <f t="shared" si="25"/>
        <v>0</v>
      </c>
      <c r="V575" t="b">
        <f t="shared" si="26"/>
        <v>0</v>
      </c>
    </row>
    <row r="576" spans="1:22" x14ac:dyDescent="0.3">
      <c r="A576" t="s">
        <v>1400</v>
      </c>
      <c r="B576">
        <v>2023</v>
      </c>
      <c r="C576" t="s">
        <v>418</v>
      </c>
      <c r="D576" t="s">
        <v>130</v>
      </c>
      <c r="E576" t="s">
        <v>1401</v>
      </c>
      <c r="F576" t="s">
        <v>31</v>
      </c>
      <c r="G576" t="s">
        <v>24</v>
      </c>
      <c r="H576">
        <v>1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f t="shared" si="24"/>
        <v>3</v>
      </c>
      <c r="U576">
        <f t="shared" si="25"/>
        <v>0</v>
      </c>
      <c r="V576" t="b">
        <f t="shared" si="26"/>
        <v>0</v>
      </c>
    </row>
    <row r="577" spans="1:22" x14ac:dyDescent="0.3">
      <c r="A577" t="s">
        <v>1402</v>
      </c>
      <c r="B577">
        <v>2023</v>
      </c>
      <c r="C577" t="s">
        <v>1403</v>
      </c>
      <c r="D577" t="s">
        <v>130</v>
      </c>
      <c r="E577" t="s">
        <v>1404</v>
      </c>
      <c r="F577" t="s">
        <v>31</v>
      </c>
      <c r="G577" t="s">
        <v>24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f t="shared" si="24"/>
        <v>2</v>
      </c>
      <c r="U577">
        <f t="shared" si="25"/>
        <v>0</v>
      </c>
      <c r="V577" t="b">
        <f t="shared" si="26"/>
        <v>0</v>
      </c>
    </row>
    <row r="578" spans="1:22" x14ac:dyDescent="0.3">
      <c r="A578" t="s">
        <v>1405</v>
      </c>
      <c r="B578">
        <v>2023</v>
      </c>
      <c r="C578" t="s">
        <v>184</v>
      </c>
      <c r="D578" t="s">
        <v>29</v>
      </c>
      <c r="E578" t="s">
        <v>1406</v>
      </c>
      <c r="F578" t="s">
        <v>31</v>
      </c>
      <c r="G578" t="s">
        <v>24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f t="shared" si="24"/>
        <v>3</v>
      </c>
      <c r="U578">
        <f t="shared" si="25"/>
        <v>0</v>
      </c>
      <c r="V578" t="b">
        <f t="shared" si="26"/>
        <v>0</v>
      </c>
    </row>
    <row r="579" spans="1:22" x14ac:dyDescent="0.3">
      <c r="A579" t="s">
        <v>1407</v>
      </c>
      <c r="B579">
        <v>2023</v>
      </c>
      <c r="C579" t="s">
        <v>1408</v>
      </c>
      <c r="D579" t="s">
        <v>29</v>
      </c>
      <c r="E579" t="s">
        <v>1409</v>
      </c>
      <c r="F579" t="s">
        <v>39</v>
      </c>
      <c r="G579" t="s">
        <v>24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f t="shared" ref="T579:T642" si="27">SUM(H579:M579)</f>
        <v>3</v>
      </c>
      <c r="U579">
        <f t="shared" ref="U579:U642" si="28">SUM(N579:R579)</f>
        <v>1</v>
      </c>
      <c r="V579" t="b">
        <f t="shared" ref="V579:V642" si="29">T579&gt;4</f>
        <v>0</v>
      </c>
    </row>
    <row r="580" spans="1:22" x14ac:dyDescent="0.3">
      <c r="A580" t="s">
        <v>1410</v>
      </c>
      <c r="B580">
        <v>2023</v>
      </c>
      <c r="C580" t="s">
        <v>1411</v>
      </c>
      <c r="D580" t="s">
        <v>29</v>
      </c>
      <c r="E580" t="s">
        <v>1412</v>
      </c>
      <c r="F580" t="s">
        <v>39</v>
      </c>
      <c r="G580" t="s">
        <v>24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f t="shared" si="27"/>
        <v>3</v>
      </c>
      <c r="U580">
        <f t="shared" si="28"/>
        <v>1</v>
      </c>
      <c r="V580" t="b">
        <f t="shared" si="29"/>
        <v>0</v>
      </c>
    </row>
    <row r="581" spans="1:22" x14ac:dyDescent="0.3">
      <c r="A581" t="s">
        <v>1413</v>
      </c>
      <c r="B581">
        <v>2023</v>
      </c>
      <c r="C581" t="s">
        <v>209</v>
      </c>
      <c r="D581" t="s">
        <v>29</v>
      </c>
      <c r="E581" t="s">
        <v>1414</v>
      </c>
      <c r="F581" t="s">
        <v>39</v>
      </c>
      <c r="G581" t="s">
        <v>24</v>
      </c>
      <c r="H581">
        <v>1</v>
      </c>
      <c r="I581">
        <v>1</v>
      </c>
      <c r="J581">
        <v>0</v>
      </c>
      <c r="K581">
        <v>1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f t="shared" si="27"/>
        <v>5</v>
      </c>
      <c r="U581">
        <f t="shared" si="28"/>
        <v>0</v>
      </c>
      <c r="V581" t="b">
        <f t="shared" si="29"/>
        <v>1</v>
      </c>
    </row>
    <row r="582" spans="1:22" x14ac:dyDescent="0.3">
      <c r="A582" t="s">
        <v>1415</v>
      </c>
      <c r="B582">
        <v>2023</v>
      </c>
      <c r="C582" t="s">
        <v>221</v>
      </c>
      <c r="D582" t="s">
        <v>29</v>
      </c>
      <c r="E582" t="s">
        <v>1416</v>
      </c>
      <c r="F582" t="s">
        <v>39</v>
      </c>
      <c r="G582" t="s">
        <v>24</v>
      </c>
      <c r="H582">
        <v>1</v>
      </c>
      <c r="I582">
        <v>1</v>
      </c>
      <c r="J582">
        <v>0</v>
      </c>
      <c r="K582">
        <v>1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f t="shared" si="27"/>
        <v>5</v>
      </c>
      <c r="U582">
        <f t="shared" si="28"/>
        <v>0</v>
      </c>
      <c r="V582" t="b">
        <f t="shared" si="29"/>
        <v>1</v>
      </c>
    </row>
    <row r="583" spans="1:22" x14ac:dyDescent="0.3">
      <c r="A583" t="s">
        <v>1417</v>
      </c>
      <c r="B583">
        <v>2023</v>
      </c>
      <c r="C583" t="s">
        <v>195</v>
      </c>
      <c r="D583" t="s">
        <v>29</v>
      </c>
      <c r="E583" t="s">
        <v>1418</v>
      </c>
      <c r="F583" t="s">
        <v>39</v>
      </c>
      <c r="G583" t="s">
        <v>24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f t="shared" si="27"/>
        <v>2</v>
      </c>
      <c r="U583">
        <f t="shared" si="28"/>
        <v>0</v>
      </c>
      <c r="V583" t="b">
        <f t="shared" si="29"/>
        <v>0</v>
      </c>
    </row>
    <row r="584" spans="1:22" x14ac:dyDescent="0.3">
      <c r="A584" t="s">
        <v>1419</v>
      </c>
      <c r="B584">
        <v>2023</v>
      </c>
      <c r="C584" t="s">
        <v>1420</v>
      </c>
      <c r="D584" t="s">
        <v>29</v>
      </c>
      <c r="E584" t="s">
        <v>1421</v>
      </c>
      <c r="F584" t="s">
        <v>31</v>
      </c>
      <c r="G584" t="s">
        <v>24</v>
      </c>
      <c r="H584">
        <v>1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f t="shared" si="27"/>
        <v>3</v>
      </c>
      <c r="U584">
        <f t="shared" si="28"/>
        <v>0</v>
      </c>
      <c r="V584" t="b">
        <f t="shared" si="29"/>
        <v>0</v>
      </c>
    </row>
    <row r="585" spans="1:22" x14ac:dyDescent="0.3">
      <c r="A585" t="s">
        <v>1422</v>
      </c>
      <c r="B585">
        <v>2023</v>
      </c>
      <c r="C585" t="s">
        <v>200</v>
      </c>
      <c r="D585" t="s">
        <v>29</v>
      </c>
      <c r="E585" t="s">
        <v>1423</v>
      </c>
      <c r="F585" t="s">
        <v>39</v>
      </c>
      <c r="G585" t="s">
        <v>24</v>
      </c>
      <c r="H585">
        <v>0</v>
      </c>
      <c r="I585">
        <v>0</v>
      </c>
      <c r="J585">
        <v>1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f t="shared" si="27"/>
        <v>3</v>
      </c>
      <c r="U585">
        <f t="shared" si="28"/>
        <v>0</v>
      </c>
      <c r="V585" t="b">
        <f t="shared" si="29"/>
        <v>0</v>
      </c>
    </row>
    <row r="586" spans="1:22" x14ac:dyDescent="0.3">
      <c r="A586" t="s">
        <v>1424</v>
      </c>
      <c r="B586">
        <v>2023</v>
      </c>
      <c r="C586" t="s">
        <v>212</v>
      </c>
      <c r="D586" t="s">
        <v>29</v>
      </c>
      <c r="E586" t="s">
        <v>1425</v>
      </c>
      <c r="F586" t="s">
        <v>39</v>
      </c>
      <c r="G586" t="s">
        <v>24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f t="shared" si="27"/>
        <v>2</v>
      </c>
      <c r="U586">
        <f t="shared" si="28"/>
        <v>0</v>
      </c>
      <c r="V586" t="b">
        <f t="shared" si="29"/>
        <v>0</v>
      </c>
    </row>
    <row r="587" spans="1:22" x14ac:dyDescent="0.3">
      <c r="A587" t="s">
        <v>1426</v>
      </c>
      <c r="B587">
        <v>2023</v>
      </c>
      <c r="C587" t="s">
        <v>782</v>
      </c>
      <c r="D587" t="s">
        <v>29</v>
      </c>
      <c r="E587" t="s">
        <v>1427</v>
      </c>
      <c r="F587" t="s">
        <v>39</v>
      </c>
      <c r="G587" t="s">
        <v>24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f t="shared" si="27"/>
        <v>2</v>
      </c>
      <c r="U587">
        <f t="shared" si="28"/>
        <v>0</v>
      </c>
      <c r="V587" t="b">
        <f t="shared" si="29"/>
        <v>0</v>
      </c>
    </row>
    <row r="588" spans="1:22" x14ac:dyDescent="0.3">
      <c r="A588" t="s">
        <v>1428</v>
      </c>
      <c r="B588">
        <v>2023</v>
      </c>
      <c r="C588" t="s">
        <v>1429</v>
      </c>
      <c r="D588" t="s">
        <v>21</v>
      </c>
      <c r="E588" t="s">
        <v>1430</v>
      </c>
      <c r="F588" t="s">
        <v>23</v>
      </c>
      <c r="G588" t="s">
        <v>24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f t="shared" si="27"/>
        <v>2</v>
      </c>
      <c r="U588">
        <f t="shared" si="28"/>
        <v>0</v>
      </c>
      <c r="V588" t="b">
        <f t="shared" si="29"/>
        <v>0</v>
      </c>
    </row>
    <row r="589" spans="1:22" x14ac:dyDescent="0.3">
      <c r="A589" t="s">
        <v>1431</v>
      </c>
      <c r="B589">
        <v>2023</v>
      </c>
      <c r="C589" t="s">
        <v>1432</v>
      </c>
      <c r="D589" t="s">
        <v>21</v>
      </c>
      <c r="E589" t="s">
        <v>1433</v>
      </c>
      <c r="F589" t="s">
        <v>23</v>
      </c>
      <c r="G589" t="s">
        <v>24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f t="shared" si="27"/>
        <v>2</v>
      </c>
      <c r="U589">
        <f t="shared" si="28"/>
        <v>0</v>
      </c>
      <c r="V589" t="b">
        <f t="shared" si="29"/>
        <v>0</v>
      </c>
    </row>
    <row r="590" spans="1:22" x14ac:dyDescent="0.3">
      <c r="A590" t="s">
        <v>1434</v>
      </c>
      <c r="B590">
        <v>2023</v>
      </c>
      <c r="C590" t="s">
        <v>212</v>
      </c>
      <c r="D590" t="s">
        <v>29</v>
      </c>
      <c r="E590" t="s">
        <v>1435</v>
      </c>
      <c r="F590" t="s">
        <v>39</v>
      </c>
      <c r="G590" t="s">
        <v>24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f t="shared" si="27"/>
        <v>3</v>
      </c>
      <c r="U590">
        <f t="shared" si="28"/>
        <v>0</v>
      </c>
      <c r="V590" t="b">
        <f t="shared" si="29"/>
        <v>0</v>
      </c>
    </row>
    <row r="591" spans="1:22" x14ac:dyDescent="0.3">
      <c r="A591" t="s">
        <v>1436</v>
      </c>
      <c r="B591">
        <v>2023</v>
      </c>
      <c r="C591" t="s">
        <v>710</v>
      </c>
      <c r="D591" t="s">
        <v>29</v>
      </c>
      <c r="E591" t="s">
        <v>1437</v>
      </c>
      <c r="F591" t="s">
        <v>39</v>
      </c>
      <c r="G591" t="s">
        <v>24</v>
      </c>
      <c r="H591">
        <v>1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f t="shared" si="27"/>
        <v>3</v>
      </c>
      <c r="U591">
        <f t="shared" si="28"/>
        <v>0</v>
      </c>
      <c r="V591" t="b">
        <f t="shared" si="29"/>
        <v>0</v>
      </c>
    </row>
    <row r="592" spans="1:22" x14ac:dyDescent="0.3">
      <c r="A592" t="s">
        <v>1438</v>
      </c>
      <c r="B592">
        <v>2023</v>
      </c>
      <c r="C592" t="s">
        <v>1439</v>
      </c>
      <c r="D592" t="s">
        <v>21</v>
      </c>
      <c r="E592" t="s">
        <v>1440</v>
      </c>
      <c r="F592" t="s">
        <v>23</v>
      </c>
      <c r="G592" t="s">
        <v>24</v>
      </c>
      <c r="H592">
        <v>1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f t="shared" si="27"/>
        <v>3</v>
      </c>
      <c r="U592">
        <f t="shared" si="28"/>
        <v>0</v>
      </c>
      <c r="V592" t="b">
        <f t="shared" si="29"/>
        <v>0</v>
      </c>
    </row>
    <row r="593" spans="1:22" x14ac:dyDescent="0.3">
      <c r="A593" t="s">
        <v>1441</v>
      </c>
      <c r="B593">
        <v>2023</v>
      </c>
      <c r="C593" t="s">
        <v>766</v>
      </c>
      <c r="D593" t="s">
        <v>29</v>
      </c>
      <c r="E593" t="s">
        <v>1442</v>
      </c>
      <c r="F593" t="s">
        <v>31</v>
      </c>
      <c r="G593" t="s">
        <v>24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f t="shared" si="27"/>
        <v>2</v>
      </c>
      <c r="U593">
        <f t="shared" si="28"/>
        <v>0</v>
      </c>
      <c r="V593" t="b">
        <f t="shared" si="29"/>
        <v>0</v>
      </c>
    </row>
    <row r="594" spans="1:22" x14ac:dyDescent="0.3">
      <c r="A594" t="s">
        <v>1443</v>
      </c>
      <c r="B594">
        <v>2023</v>
      </c>
      <c r="C594" t="s">
        <v>799</v>
      </c>
      <c r="D594" t="s">
        <v>29</v>
      </c>
      <c r="E594" t="s">
        <v>1444</v>
      </c>
      <c r="F594" t="s">
        <v>31</v>
      </c>
      <c r="G594" t="s">
        <v>24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f t="shared" si="27"/>
        <v>3</v>
      </c>
      <c r="U594">
        <f t="shared" si="28"/>
        <v>1</v>
      </c>
      <c r="V594" t="b">
        <f t="shared" si="29"/>
        <v>0</v>
      </c>
    </row>
    <row r="595" spans="1:22" x14ac:dyDescent="0.3">
      <c r="A595" t="s">
        <v>1445</v>
      </c>
      <c r="B595">
        <v>2023</v>
      </c>
      <c r="C595" t="s">
        <v>756</v>
      </c>
      <c r="D595" t="s">
        <v>29</v>
      </c>
      <c r="E595" t="s">
        <v>1446</v>
      </c>
      <c r="F595" t="s">
        <v>31</v>
      </c>
      <c r="G595" t="s">
        <v>24</v>
      </c>
      <c r="H595">
        <v>1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f t="shared" si="27"/>
        <v>3</v>
      </c>
      <c r="U595">
        <f t="shared" si="28"/>
        <v>0</v>
      </c>
      <c r="V595" t="b">
        <f t="shared" si="29"/>
        <v>0</v>
      </c>
    </row>
    <row r="596" spans="1:22" x14ac:dyDescent="0.3">
      <c r="A596" t="s">
        <v>1447</v>
      </c>
      <c r="B596">
        <v>2023</v>
      </c>
      <c r="C596" t="s">
        <v>203</v>
      </c>
      <c r="D596" t="s">
        <v>29</v>
      </c>
      <c r="E596" t="s">
        <v>1448</v>
      </c>
      <c r="F596" t="s">
        <v>31</v>
      </c>
      <c r="G596" t="s">
        <v>24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f t="shared" si="27"/>
        <v>2</v>
      </c>
      <c r="U596">
        <f t="shared" si="28"/>
        <v>0</v>
      </c>
      <c r="V596" t="b">
        <f t="shared" si="29"/>
        <v>0</v>
      </c>
    </row>
    <row r="597" spans="1:22" x14ac:dyDescent="0.3">
      <c r="A597" t="s">
        <v>1449</v>
      </c>
      <c r="B597">
        <v>2023</v>
      </c>
      <c r="C597" t="s">
        <v>1450</v>
      </c>
      <c r="D597" t="s">
        <v>29</v>
      </c>
      <c r="E597" t="s">
        <v>1451</v>
      </c>
      <c r="F597" t="s">
        <v>39</v>
      </c>
      <c r="G597" t="s">
        <v>24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f t="shared" si="27"/>
        <v>2</v>
      </c>
      <c r="U597">
        <f t="shared" si="28"/>
        <v>0</v>
      </c>
      <c r="V597" t="b">
        <f t="shared" si="29"/>
        <v>0</v>
      </c>
    </row>
    <row r="598" spans="1:22" x14ac:dyDescent="0.3">
      <c r="A598" t="s">
        <v>1452</v>
      </c>
      <c r="B598">
        <v>2023</v>
      </c>
      <c r="C598" t="s">
        <v>212</v>
      </c>
      <c r="D598" t="s">
        <v>29</v>
      </c>
      <c r="E598" t="s">
        <v>1453</v>
      </c>
      <c r="F598" t="s">
        <v>39</v>
      </c>
      <c r="G598" t="s">
        <v>24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f t="shared" si="27"/>
        <v>3</v>
      </c>
      <c r="U598">
        <f t="shared" si="28"/>
        <v>0</v>
      </c>
      <c r="V598" t="b">
        <f t="shared" si="29"/>
        <v>0</v>
      </c>
    </row>
    <row r="599" spans="1:22" x14ac:dyDescent="0.3">
      <c r="A599" t="s">
        <v>1454</v>
      </c>
      <c r="B599">
        <v>2023</v>
      </c>
      <c r="C599" t="s">
        <v>1455</v>
      </c>
      <c r="D599" t="s">
        <v>29</v>
      </c>
      <c r="E599" t="s">
        <v>1456</v>
      </c>
      <c r="F599" t="s">
        <v>39</v>
      </c>
      <c r="G599" t="s">
        <v>24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f t="shared" si="27"/>
        <v>2</v>
      </c>
      <c r="U599">
        <f t="shared" si="28"/>
        <v>0</v>
      </c>
      <c r="V599" t="b">
        <f t="shared" si="29"/>
        <v>0</v>
      </c>
    </row>
    <row r="600" spans="1:22" x14ac:dyDescent="0.3">
      <c r="A600" t="s">
        <v>1457</v>
      </c>
      <c r="B600">
        <v>2023</v>
      </c>
      <c r="C600" t="s">
        <v>1458</v>
      </c>
      <c r="D600" t="s">
        <v>29</v>
      </c>
      <c r="E600" t="s">
        <v>1459</v>
      </c>
      <c r="F600" t="s">
        <v>31</v>
      </c>
      <c r="G600" t="s">
        <v>24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f t="shared" si="27"/>
        <v>2</v>
      </c>
      <c r="U600">
        <f t="shared" si="28"/>
        <v>0</v>
      </c>
      <c r="V600" t="b">
        <f t="shared" si="29"/>
        <v>0</v>
      </c>
    </row>
    <row r="601" spans="1:22" x14ac:dyDescent="0.3">
      <c r="A601" t="s">
        <v>1460</v>
      </c>
      <c r="B601">
        <v>2023</v>
      </c>
      <c r="C601" t="s">
        <v>756</v>
      </c>
      <c r="D601" t="s">
        <v>29</v>
      </c>
      <c r="E601" t="s">
        <v>1461</v>
      </c>
      <c r="F601" t="s">
        <v>31</v>
      </c>
      <c r="G601" t="s">
        <v>24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f t="shared" si="27"/>
        <v>2</v>
      </c>
      <c r="U601">
        <f t="shared" si="28"/>
        <v>1</v>
      </c>
      <c r="V601" t="b">
        <f t="shared" si="29"/>
        <v>0</v>
      </c>
    </row>
    <row r="602" spans="1:22" x14ac:dyDescent="0.3">
      <c r="A602" t="s">
        <v>1462</v>
      </c>
      <c r="B602">
        <v>2022</v>
      </c>
      <c r="C602" t="s">
        <v>1463</v>
      </c>
      <c r="D602" t="s">
        <v>21</v>
      </c>
      <c r="E602" t="s">
        <v>1464</v>
      </c>
      <c r="F602" t="s">
        <v>23</v>
      </c>
      <c r="G602" t="s">
        <v>24</v>
      </c>
      <c r="H602">
        <v>0</v>
      </c>
      <c r="I602">
        <v>1</v>
      </c>
      <c r="J602">
        <v>1</v>
      </c>
      <c r="K602">
        <v>0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f t="shared" si="27"/>
        <v>4</v>
      </c>
      <c r="U602">
        <f t="shared" si="28"/>
        <v>1</v>
      </c>
      <c r="V602" t="b">
        <f t="shared" si="29"/>
        <v>0</v>
      </c>
    </row>
    <row r="603" spans="1:22" x14ac:dyDescent="0.3">
      <c r="A603" t="s">
        <v>1465</v>
      </c>
      <c r="B603">
        <v>2022</v>
      </c>
      <c r="C603" t="s">
        <v>1466</v>
      </c>
      <c r="D603" t="s">
        <v>21</v>
      </c>
      <c r="E603" t="s">
        <v>1467</v>
      </c>
      <c r="F603" t="s">
        <v>23</v>
      </c>
      <c r="G603" t="s">
        <v>24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f t="shared" si="27"/>
        <v>3</v>
      </c>
      <c r="U603">
        <f t="shared" si="28"/>
        <v>0</v>
      </c>
      <c r="V603" t="b">
        <f t="shared" si="29"/>
        <v>0</v>
      </c>
    </row>
    <row r="604" spans="1:22" x14ac:dyDescent="0.3">
      <c r="A604" t="s">
        <v>1468</v>
      </c>
      <c r="B604">
        <v>2022</v>
      </c>
      <c r="C604" t="s">
        <v>1469</v>
      </c>
      <c r="D604" t="s">
        <v>21</v>
      </c>
      <c r="E604" t="s">
        <v>1470</v>
      </c>
      <c r="F604" t="s">
        <v>23</v>
      </c>
      <c r="G604" t="s">
        <v>24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f t="shared" si="27"/>
        <v>2</v>
      </c>
      <c r="U604">
        <f t="shared" si="28"/>
        <v>0</v>
      </c>
      <c r="V604" t="b">
        <f t="shared" si="29"/>
        <v>0</v>
      </c>
    </row>
    <row r="605" spans="1:22" x14ac:dyDescent="0.3">
      <c r="A605" t="s">
        <v>1471</v>
      </c>
      <c r="B605">
        <v>2022</v>
      </c>
      <c r="C605" t="s">
        <v>1472</v>
      </c>
      <c r="D605" t="s">
        <v>21</v>
      </c>
      <c r="E605" t="s">
        <v>1473</v>
      </c>
      <c r="F605" t="s">
        <v>23</v>
      </c>
      <c r="G605" t="s">
        <v>24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f t="shared" si="27"/>
        <v>6</v>
      </c>
      <c r="U605">
        <f t="shared" si="28"/>
        <v>0</v>
      </c>
      <c r="V605" t="b">
        <f t="shared" si="29"/>
        <v>1</v>
      </c>
    </row>
    <row r="606" spans="1:22" x14ac:dyDescent="0.3">
      <c r="A606" t="s">
        <v>1474</v>
      </c>
      <c r="B606">
        <v>2022</v>
      </c>
      <c r="C606" t="s">
        <v>1475</v>
      </c>
      <c r="D606" t="s">
        <v>21</v>
      </c>
      <c r="E606" t="s">
        <v>1476</v>
      </c>
      <c r="F606" t="s">
        <v>23</v>
      </c>
      <c r="G606" t="s">
        <v>24</v>
      </c>
      <c r="H606">
        <v>1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f t="shared" si="27"/>
        <v>3</v>
      </c>
      <c r="U606">
        <f t="shared" si="28"/>
        <v>0</v>
      </c>
      <c r="V606" t="b">
        <f t="shared" si="29"/>
        <v>0</v>
      </c>
    </row>
    <row r="607" spans="1:22" x14ac:dyDescent="0.3">
      <c r="A607" t="s">
        <v>1477</v>
      </c>
      <c r="B607">
        <v>2022</v>
      </c>
      <c r="C607" t="s">
        <v>1478</v>
      </c>
      <c r="D607" t="s">
        <v>21</v>
      </c>
      <c r="E607" t="s">
        <v>1479</v>
      </c>
      <c r="F607" t="s">
        <v>23</v>
      </c>
      <c r="G607" t="s">
        <v>24</v>
      </c>
      <c r="H607">
        <v>1</v>
      </c>
      <c r="I607">
        <v>1</v>
      </c>
      <c r="J607">
        <v>0</v>
      </c>
      <c r="K607">
        <v>1</v>
      </c>
      <c r="L607">
        <v>1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f t="shared" si="27"/>
        <v>5</v>
      </c>
      <c r="U607">
        <f t="shared" si="28"/>
        <v>0</v>
      </c>
      <c r="V607" t="b">
        <f t="shared" si="29"/>
        <v>1</v>
      </c>
    </row>
    <row r="608" spans="1:22" x14ac:dyDescent="0.3">
      <c r="A608" t="s">
        <v>1480</v>
      </c>
      <c r="B608">
        <v>2022</v>
      </c>
      <c r="C608" t="s">
        <v>1481</v>
      </c>
      <c r="D608" t="s">
        <v>21</v>
      </c>
      <c r="E608" t="s">
        <v>1482</v>
      </c>
      <c r="F608" t="s">
        <v>23</v>
      </c>
      <c r="G608" t="s">
        <v>24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f t="shared" si="27"/>
        <v>3</v>
      </c>
      <c r="U608">
        <f t="shared" si="28"/>
        <v>0</v>
      </c>
      <c r="V608" t="b">
        <f t="shared" si="29"/>
        <v>0</v>
      </c>
    </row>
    <row r="609" spans="1:22" x14ac:dyDescent="0.3">
      <c r="A609" t="s">
        <v>1483</v>
      </c>
      <c r="B609">
        <v>2022</v>
      </c>
      <c r="C609" t="s">
        <v>1466</v>
      </c>
      <c r="D609" t="s">
        <v>21</v>
      </c>
      <c r="E609" t="s">
        <v>1484</v>
      </c>
      <c r="F609" t="s">
        <v>23</v>
      </c>
      <c r="G609" t="s">
        <v>24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f t="shared" si="27"/>
        <v>3</v>
      </c>
      <c r="U609">
        <f t="shared" si="28"/>
        <v>1</v>
      </c>
      <c r="V609" t="b">
        <f t="shared" si="29"/>
        <v>0</v>
      </c>
    </row>
    <row r="610" spans="1:22" x14ac:dyDescent="0.3">
      <c r="A610" t="s">
        <v>1485</v>
      </c>
      <c r="B610">
        <v>2022</v>
      </c>
      <c r="C610" t="s">
        <v>1469</v>
      </c>
      <c r="D610" t="s">
        <v>21</v>
      </c>
      <c r="E610" t="s">
        <v>1486</v>
      </c>
      <c r="F610" t="s">
        <v>23</v>
      </c>
      <c r="G610" t="s">
        <v>24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f t="shared" si="27"/>
        <v>3</v>
      </c>
      <c r="U610">
        <f t="shared" si="28"/>
        <v>1</v>
      </c>
      <c r="V610" t="b">
        <f t="shared" si="29"/>
        <v>0</v>
      </c>
    </row>
    <row r="611" spans="1:22" x14ac:dyDescent="0.3">
      <c r="A611" t="s">
        <v>1487</v>
      </c>
      <c r="B611">
        <v>2022</v>
      </c>
      <c r="C611" t="s">
        <v>1466</v>
      </c>
      <c r="D611" t="s">
        <v>21</v>
      </c>
      <c r="E611" t="s">
        <v>1488</v>
      </c>
      <c r="F611" t="s">
        <v>23</v>
      </c>
      <c r="G611" t="s">
        <v>24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f t="shared" si="27"/>
        <v>2</v>
      </c>
      <c r="U611">
        <f t="shared" si="28"/>
        <v>0</v>
      </c>
      <c r="V611" t="b">
        <f t="shared" si="29"/>
        <v>0</v>
      </c>
    </row>
    <row r="612" spans="1:22" x14ac:dyDescent="0.3">
      <c r="A612" t="s">
        <v>1489</v>
      </c>
      <c r="B612">
        <v>2022</v>
      </c>
      <c r="C612" t="s">
        <v>1475</v>
      </c>
      <c r="D612" t="s">
        <v>21</v>
      </c>
      <c r="E612" t="s">
        <v>1490</v>
      </c>
      <c r="F612" t="s">
        <v>23</v>
      </c>
      <c r="G612" t="s">
        <v>24</v>
      </c>
      <c r="H612">
        <v>1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f t="shared" si="27"/>
        <v>3</v>
      </c>
      <c r="U612">
        <f t="shared" si="28"/>
        <v>0</v>
      </c>
      <c r="V612" t="b">
        <f t="shared" si="29"/>
        <v>0</v>
      </c>
    </row>
    <row r="613" spans="1:22" x14ac:dyDescent="0.3">
      <c r="A613" t="s">
        <v>1491</v>
      </c>
      <c r="B613">
        <v>2022</v>
      </c>
      <c r="C613" t="s">
        <v>1466</v>
      </c>
      <c r="D613" t="s">
        <v>21</v>
      </c>
      <c r="E613" t="s">
        <v>1492</v>
      </c>
      <c r="F613" t="s">
        <v>23</v>
      </c>
      <c r="G613" t="s">
        <v>24</v>
      </c>
      <c r="H613">
        <v>1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f t="shared" si="27"/>
        <v>3</v>
      </c>
      <c r="U613">
        <f t="shared" si="28"/>
        <v>0</v>
      </c>
      <c r="V613" t="b">
        <f t="shared" si="29"/>
        <v>0</v>
      </c>
    </row>
    <row r="614" spans="1:22" x14ac:dyDescent="0.3">
      <c r="A614" t="s">
        <v>1493</v>
      </c>
      <c r="B614">
        <v>2022</v>
      </c>
      <c r="C614" t="s">
        <v>1494</v>
      </c>
      <c r="D614" t="s">
        <v>21</v>
      </c>
      <c r="E614" t="s">
        <v>1495</v>
      </c>
      <c r="F614" t="s">
        <v>35</v>
      </c>
      <c r="G614" t="s">
        <v>24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f t="shared" si="27"/>
        <v>3</v>
      </c>
      <c r="U614">
        <f t="shared" si="28"/>
        <v>1</v>
      </c>
      <c r="V614" t="b">
        <f t="shared" si="29"/>
        <v>0</v>
      </c>
    </row>
    <row r="615" spans="1:22" x14ac:dyDescent="0.3">
      <c r="A615" t="s">
        <v>1496</v>
      </c>
      <c r="B615">
        <v>2022</v>
      </c>
      <c r="C615" t="s">
        <v>1497</v>
      </c>
      <c r="D615" t="s">
        <v>21</v>
      </c>
      <c r="E615" t="s">
        <v>1498</v>
      </c>
      <c r="F615" t="s">
        <v>35</v>
      </c>
      <c r="G615" t="s">
        <v>24</v>
      </c>
      <c r="H615">
        <v>0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  <c r="T615">
        <f t="shared" si="27"/>
        <v>4</v>
      </c>
      <c r="U615">
        <f t="shared" si="28"/>
        <v>1</v>
      </c>
      <c r="V615" t="b">
        <f t="shared" si="29"/>
        <v>0</v>
      </c>
    </row>
    <row r="616" spans="1:22" x14ac:dyDescent="0.3">
      <c r="A616" t="s">
        <v>1499</v>
      </c>
      <c r="B616">
        <v>2022</v>
      </c>
      <c r="C616" t="s">
        <v>1500</v>
      </c>
      <c r="D616" t="s">
        <v>21</v>
      </c>
      <c r="E616" t="s">
        <v>1501</v>
      </c>
      <c r="F616" t="s">
        <v>23</v>
      </c>
      <c r="G616" t="s">
        <v>24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f t="shared" si="27"/>
        <v>2</v>
      </c>
      <c r="U616">
        <f t="shared" si="28"/>
        <v>0</v>
      </c>
      <c r="V616" t="b">
        <f t="shared" si="29"/>
        <v>0</v>
      </c>
    </row>
    <row r="617" spans="1:22" x14ac:dyDescent="0.3">
      <c r="A617" t="s">
        <v>1502</v>
      </c>
      <c r="B617">
        <v>2022</v>
      </c>
      <c r="C617" t="s">
        <v>1503</v>
      </c>
      <c r="D617" t="s">
        <v>21</v>
      </c>
      <c r="E617" t="s">
        <v>1504</v>
      </c>
      <c r="F617" t="s">
        <v>35</v>
      </c>
      <c r="G617" t="s">
        <v>24</v>
      </c>
      <c r="H617">
        <v>1</v>
      </c>
      <c r="I617">
        <v>1</v>
      </c>
      <c r="J617">
        <v>0</v>
      </c>
      <c r="K617">
        <v>1</v>
      </c>
      <c r="L617">
        <v>1</v>
      </c>
      <c r="M617">
        <v>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f t="shared" si="27"/>
        <v>5</v>
      </c>
      <c r="U617">
        <f t="shared" si="28"/>
        <v>1</v>
      </c>
      <c r="V617" t="b">
        <f t="shared" si="29"/>
        <v>1</v>
      </c>
    </row>
    <row r="618" spans="1:22" x14ac:dyDescent="0.3">
      <c r="A618" t="s">
        <v>1505</v>
      </c>
      <c r="B618">
        <v>2022</v>
      </c>
      <c r="C618" t="s">
        <v>413</v>
      </c>
      <c r="D618" t="s">
        <v>130</v>
      </c>
      <c r="E618" t="s">
        <v>1506</v>
      </c>
      <c r="F618" t="s">
        <v>31</v>
      </c>
      <c r="G618" t="s">
        <v>24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f t="shared" si="27"/>
        <v>2</v>
      </c>
      <c r="U618">
        <f t="shared" si="28"/>
        <v>0</v>
      </c>
      <c r="V618" t="b">
        <f t="shared" si="29"/>
        <v>0</v>
      </c>
    </row>
    <row r="619" spans="1:22" x14ac:dyDescent="0.3">
      <c r="A619" t="s">
        <v>1507</v>
      </c>
      <c r="B619">
        <v>2022</v>
      </c>
      <c r="C619" t="s">
        <v>1508</v>
      </c>
      <c r="D619" t="s">
        <v>323</v>
      </c>
      <c r="E619" t="s">
        <v>1509</v>
      </c>
      <c r="F619" t="s">
        <v>35</v>
      </c>
      <c r="G619" t="s">
        <v>24</v>
      </c>
      <c r="H619">
        <v>1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f t="shared" si="27"/>
        <v>3</v>
      </c>
      <c r="U619">
        <f t="shared" si="28"/>
        <v>0</v>
      </c>
      <c r="V619" t="b">
        <f t="shared" si="29"/>
        <v>0</v>
      </c>
    </row>
    <row r="620" spans="1:22" x14ac:dyDescent="0.3">
      <c r="A620" t="s">
        <v>1510</v>
      </c>
      <c r="B620">
        <v>2022</v>
      </c>
      <c r="C620" t="s">
        <v>1466</v>
      </c>
      <c r="D620" t="s">
        <v>21</v>
      </c>
      <c r="E620" t="s">
        <v>1511</v>
      </c>
      <c r="F620" t="s">
        <v>23</v>
      </c>
      <c r="G620" t="s">
        <v>24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f t="shared" si="27"/>
        <v>5</v>
      </c>
      <c r="U620">
        <f t="shared" si="28"/>
        <v>0</v>
      </c>
      <c r="V620" t="b">
        <f t="shared" si="29"/>
        <v>1</v>
      </c>
    </row>
    <row r="621" spans="1:22" x14ac:dyDescent="0.3">
      <c r="A621" t="s">
        <v>1512</v>
      </c>
      <c r="B621">
        <v>2022</v>
      </c>
      <c r="C621" t="s">
        <v>1513</v>
      </c>
      <c r="D621" t="s">
        <v>21</v>
      </c>
      <c r="E621" t="s">
        <v>1514</v>
      </c>
      <c r="F621" t="s">
        <v>23</v>
      </c>
      <c r="G621" t="s">
        <v>24</v>
      </c>
      <c r="H621">
        <v>1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f t="shared" si="27"/>
        <v>3</v>
      </c>
      <c r="U621">
        <f t="shared" si="28"/>
        <v>0</v>
      </c>
      <c r="V621" t="b">
        <f t="shared" si="29"/>
        <v>0</v>
      </c>
    </row>
    <row r="622" spans="1:22" x14ac:dyDescent="0.3">
      <c r="A622" t="s">
        <v>1515</v>
      </c>
      <c r="B622">
        <v>2022</v>
      </c>
      <c r="C622" t="s">
        <v>1475</v>
      </c>
      <c r="D622" t="s">
        <v>21</v>
      </c>
      <c r="E622" t="s">
        <v>1516</v>
      </c>
      <c r="F622" t="s">
        <v>23</v>
      </c>
      <c r="G622" t="s">
        <v>24</v>
      </c>
      <c r="H622">
        <v>1</v>
      </c>
      <c r="I622">
        <v>0</v>
      </c>
      <c r="J622">
        <v>1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f t="shared" si="27"/>
        <v>4</v>
      </c>
      <c r="U622">
        <f t="shared" si="28"/>
        <v>0</v>
      </c>
      <c r="V622" t="b">
        <f t="shared" si="29"/>
        <v>0</v>
      </c>
    </row>
    <row r="623" spans="1:22" x14ac:dyDescent="0.3">
      <c r="A623" t="s">
        <v>1517</v>
      </c>
      <c r="B623">
        <v>2022</v>
      </c>
      <c r="C623" t="s">
        <v>1469</v>
      </c>
      <c r="D623" t="s">
        <v>21</v>
      </c>
      <c r="E623" t="s">
        <v>1518</v>
      </c>
      <c r="F623" t="s">
        <v>23</v>
      </c>
      <c r="G623" t="s">
        <v>24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f t="shared" si="27"/>
        <v>2</v>
      </c>
      <c r="U623">
        <f t="shared" si="28"/>
        <v>0</v>
      </c>
      <c r="V623" t="b">
        <f t="shared" si="29"/>
        <v>0</v>
      </c>
    </row>
    <row r="624" spans="1:22" x14ac:dyDescent="0.3">
      <c r="A624" t="s">
        <v>1519</v>
      </c>
      <c r="B624">
        <v>2022</v>
      </c>
      <c r="C624" t="s">
        <v>1503</v>
      </c>
      <c r="D624" t="s">
        <v>21</v>
      </c>
      <c r="E624" t="s">
        <v>1520</v>
      </c>
      <c r="F624" t="s">
        <v>35</v>
      </c>
      <c r="G624" t="s">
        <v>24</v>
      </c>
      <c r="H624">
        <v>1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f t="shared" si="27"/>
        <v>3</v>
      </c>
      <c r="U624">
        <f t="shared" si="28"/>
        <v>0</v>
      </c>
      <c r="V624" t="b">
        <f t="shared" si="29"/>
        <v>0</v>
      </c>
    </row>
    <row r="625" spans="1:22" x14ac:dyDescent="0.3">
      <c r="A625" t="s">
        <v>1521</v>
      </c>
      <c r="B625">
        <v>2022</v>
      </c>
      <c r="C625" t="s">
        <v>1503</v>
      </c>
      <c r="D625" t="s">
        <v>21</v>
      </c>
      <c r="E625" t="s">
        <v>1522</v>
      </c>
      <c r="F625" t="s">
        <v>35</v>
      </c>
      <c r="G625" t="s">
        <v>24</v>
      </c>
      <c r="H625">
        <v>1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f t="shared" si="27"/>
        <v>3</v>
      </c>
      <c r="U625">
        <f t="shared" si="28"/>
        <v>0</v>
      </c>
      <c r="V625" t="b">
        <f t="shared" si="29"/>
        <v>0</v>
      </c>
    </row>
    <row r="626" spans="1:22" x14ac:dyDescent="0.3">
      <c r="A626" t="s">
        <v>1523</v>
      </c>
      <c r="B626">
        <v>2022</v>
      </c>
      <c r="C626" t="s">
        <v>1475</v>
      </c>
      <c r="D626" t="s">
        <v>21</v>
      </c>
      <c r="E626" t="s">
        <v>1524</v>
      </c>
      <c r="F626" t="s">
        <v>23</v>
      </c>
      <c r="G626" t="s">
        <v>24</v>
      </c>
      <c r="H626">
        <v>1</v>
      </c>
      <c r="I626">
        <v>1</v>
      </c>
      <c r="J626">
        <v>0</v>
      </c>
      <c r="K626">
        <v>1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f t="shared" si="27"/>
        <v>5</v>
      </c>
      <c r="U626">
        <f t="shared" si="28"/>
        <v>0</v>
      </c>
      <c r="V626" t="b">
        <f t="shared" si="29"/>
        <v>1</v>
      </c>
    </row>
    <row r="627" spans="1:22" x14ac:dyDescent="0.3">
      <c r="A627" t="s">
        <v>1525</v>
      </c>
      <c r="B627">
        <v>2022</v>
      </c>
      <c r="C627" t="s">
        <v>347</v>
      </c>
      <c r="D627" t="s">
        <v>323</v>
      </c>
      <c r="E627" t="s">
        <v>1526</v>
      </c>
      <c r="F627" t="s">
        <v>23</v>
      </c>
      <c r="G627" t="s">
        <v>24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f t="shared" si="27"/>
        <v>5</v>
      </c>
      <c r="U627">
        <f t="shared" si="28"/>
        <v>1</v>
      </c>
      <c r="V627" t="b">
        <f t="shared" si="29"/>
        <v>1</v>
      </c>
    </row>
    <row r="628" spans="1:22" x14ac:dyDescent="0.3">
      <c r="A628" t="s">
        <v>1527</v>
      </c>
      <c r="B628">
        <v>2022</v>
      </c>
      <c r="C628" t="s">
        <v>1503</v>
      </c>
      <c r="D628" t="s">
        <v>21</v>
      </c>
      <c r="E628" t="s">
        <v>1528</v>
      </c>
      <c r="F628" t="s">
        <v>35</v>
      </c>
      <c r="G628" t="s">
        <v>24</v>
      </c>
      <c r="H628">
        <v>1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f t="shared" si="27"/>
        <v>3</v>
      </c>
      <c r="U628">
        <f t="shared" si="28"/>
        <v>0</v>
      </c>
      <c r="V628" t="b">
        <f t="shared" si="29"/>
        <v>0</v>
      </c>
    </row>
    <row r="629" spans="1:22" x14ac:dyDescent="0.3">
      <c r="A629" t="s">
        <v>1529</v>
      </c>
      <c r="B629">
        <v>2022</v>
      </c>
      <c r="C629" t="s">
        <v>1503</v>
      </c>
      <c r="D629" t="s">
        <v>21</v>
      </c>
      <c r="E629" t="s">
        <v>1530</v>
      </c>
      <c r="F629" t="s">
        <v>35</v>
      </c>
      <c r="G629" t="s">
        <v>24</v>
      </c>
      <c r="H629">
        <v>1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f t="shared" si="27"/>
        <v>3</v>
      </c>
      <c r="U629">
        <f t="shared" si="28"/>
        <v>0</v>
      </c>
      <c r="V629" t="b">
        <f t="shared" si="29"/>
        <v>0</v>
      </c>
    </row>
    <row r="630" spans="1:22" x14ac:dyDescent="0.3">
      <c r="A630" t="s">
        <v>1531</v>
      </c>
      <c r="B630">
        <v>2022</v>
      </c>
      <c r="C630" t="s">
        <v>1481</v>
      </c>
      <c r="D630" t="s">
        <v>21</v>
      </c>
      <c r="E630" t="s">
        <v>1532</v>
      </c>
      <c r="F630" t="s">
        <v>23</v>
      </c>
      <c r="G630" t="s">
        <v>24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f t="shared" si="27"/>
        <v>3</v>
      </c>
      <c r="U630">
        <f t="shared" si="28"/>
        <v>0</v>
      </c>
      <c r="V630" t="b">
        <f t="shared" si="29"/>
        <v>0</v>
      </c>
    </row>
    <row r="631" spans="1:22" x14ac:dyDescent="0.3">
      <c r="A631" t="s">
        <v>1533</v>
      </c>
      <c r="B631">
        <v>2022</v>
      </c>
      <c r="C631" t="s">
        <v>1475</v>
      </c>
      <c r="D631" t="s">
        <v>21</v>
      </c>
      <c r="E631" t="s">
        <v>1534</v>
      </c>
      <c r="F631" t="s">
        <v>23</v>
      </c>
      <c r="G631" t="s">
        <v>24</v>
      </c>
      <c r="H631">
        <v>1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f t="shared" si="27"/>
        <v>3</v>
      </c>
      <c r="U631">
        <f t="shared" si="28"/>
        <v>0</v>
      </c>
      <c r="V631" t="b">
        <f t="shared" si="29"/>
        <v>0</v>
      </c>
    </row>
    <row r="632" spans="1:22" x14ac:dyDescent="0.3">
      <c r="A632" t="s">
        <v>1535</v>
      </c>
      <c r="B632">
        <v>2022</v>
      </c>
      <c r="C632" t="s">
        <v>1469</v>
      </c>
      <c r="D632" t="s">
        <v>21</v>
      </c>
      <c r="E632" t="s">
        <v>1536</v>
      </c>
      <c r="F632" t="s">
        <v>23</v>
      </c>
      <c r="G632" t="s">
        <v>24</v>
      </c>
      <c r="H632">
        <v>0</v>
      </c>
      <c r="I632">
        <v>1</v>
      </c>
      <c r="J632">
        <v>0</v>
      </c>
      <c r="K632">
        <v>0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f t="shared" si="27"/>
        <v>3</v>
      </c>
      <c r="U632">
        <f t="shared" si="28"/>
        <v>1</v>
      </c>
      <c r="V632" t="b">
        <f t="shared" si="29"/>
        <v>0</v>
      </c>
    </row>
    <row r="633" spans="1:22" x14ac:dyDescent="0.3">
      <c r="A633" t="s">
        <v>1537</v>
      </c>
      <c r="B633">
        <v>2022</v>
      </c>
      <c r="C633" t="s">
        <v>53</v>
      </c>
      <c r="D633" t="s">
        <v>29</v>
      </c>
      <c r="E633" t="s">
        <v>1538</v>
      </c>
      <c r="F633" t="s">
        <v>31</v>
      </c>
      <c r="G633" t="s">
        <v>24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f t="shared" si="27"/>
        <v>2</v>
      </c>
      <c r="U633">
        <f t="shared" si="28"/>
        <v>0</v>
      </c>
      <c r="V633" t="b">
        <f t="shared" si="29"/>
        <v>0</v>
      </c>
    </row>
    <row r="634" spans="1:22" x14ac:dyDescent="0.3">
      <c r="A634" t="s">
        <v>1539</v>
      </c>
      <c r="B634">
        <v>2022</v>
      </c>
      <c r="C634" t="s">
        <v>53</v>
      </c>
      <c r="D634" t="s">
        <v>29</v>
      </c>
      <c r="E634" t="s">
        <v>1540</v>
      </c>
      <c r="F634" t="s">
        <v>31</v>
      </c>
      <c r="G634" t="s">
        <v>24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f t="shared" si="27"/>
        <v>2</v>
      </c>
      <c r="U634">
        <f t="shared" si="28"/>
        <v>0</v>
      </c>
      <c r="V634" t="b">
        <f t="shared" si="29"/>
        <v>0</v>
      </c>
    </row>
    <row r="635" spans="1:22" x14ac:dyDescent="0.3">
      <c r="A635" t="s">
        <v>1541</v>
      </c>
      <c r="B635">
        <v>2022</v>
      </c>
      <c r="C635" t="s">
        <v>1503</v>
      </c>
      <c r="D635" t="s">
        <v>21</v>
      </c>
      <c r="E635" t="s">
        <v>1542</v>
      </c>
      <c r="F635" t="s">
        <v>35</v>
      </c>
      <c r="G635" t="s">
        <v>24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f t="shared" si="27"/>
        <v>3</v>
      </c>
      <c r="U635">
        <f t="shared" si="28"/>
        <v>0</v>
      </c>
      <c r="V635" t="b">
        <f t="shared" si="29"/>
        <v>0</v>
      </c>
    </row>
    <row r="636" spans="1:22" x14ac:dyDescent="0.3">
      <c r="A636" t="s">
        <v>1543</v>
      </c>
      <c r="B636">
        <v>2022</v>
      </c>
      <c r="C636" t="s">
        <v>1497</v>
      </c>
      <c r="D636" t="s">
        <v>21</v>
      </c>
      <c r="E636" t="s">
        <v>1544</v>
      </c>
      <c r="F636" t="s">
        <v>35</v>
      </c>
      <c r="G636" t="s">
        <v>24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f t="shared" si="27"/>
        <v>2</v>
      </c>
      <c r="U636">
        <f t="shared" si="28"/>
        <v>0</v>
      </c>
      <c r="V636" t="b">
        <f t="shared" si="29"/>
        <v>0</v>
      </c>
    </row>
    <row r="637" spans="1:22" x14ac:dyDescent="0.3">
      <c r="A637" t="s">
        <v>1545</v>
      </c>
      <c r="B637">
        <v>2022</v>
      </c>
      <c r="C637" t="s">
        <v>1494</v>
      </c>
      <c r="D637" t="s">
        <v>21</v>
      </c>
      <c r="E637" t="s">
        <v>1546</v>
      </c>
      <c r="F637" t="s">
        <v>35</v>
      </c>
      <c r="G637" t="s">
        <v>24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f t="shared" si="27"/>
        <v>2</v>
      </c>
      <c r="U637">
        <f t="shared" si="28"/>
        <v>0</v>
      </c>
      <c r="V637" t="b">
        <f t="shared" si="29"/>
        <v>0</v>
      </c>
    </row>
    <row r="638" spans="1:22" x14ac:dyDescent="0.3">
      <c r="A638" t="s">
        <v>1547</v>
      </c>
      <c r="B638">
        <v>2022</v>
      </c>
      <c r="C638" t="s">
        <v>1472</v>
      </c>
      <c r="D638" t="s">
        <v>21</v>
      </c>
      <c r="E638" t="s">
        <v>1548</v>
      </c>
      <c r="F638" t="s">
        <v>23</v>
      </c>
      <c r="G638" t="s">
        <v>24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f t="shared" si="27"/>
        <v>3</v>
      </c>
      <c r="U638">
        <f t="shared" si="28"/>
        <v>0</v>
      </c>
      <c r="V638" t="b">
        <f t="shared" si="29"/>
        <v>0</v>
      </c>
    </row>
    <row r="639" spans="1:22" x14ac:dyDescent="0.3">
      <c r="A639" t="s">
        <v>1549</v>
      </c>
      <c r="B639">
        <v>2022</v>
      </c>
      <c r="C639" t="s">
        <v>1466</v>
      </c>
      <c r="D639" t="s">
        <v>21</v>
      </c>
      <c r="E639" t="s">
        <v>1550</v>
      </c>
      <c r="F639" t="s">
        <v>23</v>
      </c>
      <c r="G639" t="s">
        <v>24</v>
      </c>
      <c r="H639">
        <v>0</v>
      </c>
      <c r="I639">
        <v>0</v>
      </c>
      <c r="J639">
        <v>1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f t="shared" si="27"/>
        <v>3</v>
      </c>
      <c r="U639">
        <f t="shared" si="28"/>
        <v>0</v>
      </c>
      <c r="V639" t="b">
        <f t="shared" si="29"/>
        <v>0</v>
      </c>
    </row>
    <row r="640" spans="1:22" x14ac:dyDescent="0.3">
      <c r="A640" t="s">
        <v>1551</v>
      </c>
      <c r="B640">
        <v>2022</v>
      </c>
      <c r="C640" t="s">
        <v>37</v>
      </c>
      <c r="D640" t="s">
        <v>29</v>
      </c>
      <c r="E640" t="s">
        <v>1552</v>
      </c>
      <c r="F640" t="s">
        <v>39</v>
      </c>
      <c r="G640" t="s">
        <v>24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f t="shared" si="27"/>
        <v>3</v>
      </c>
      <c r="U640">
        <f t="shared" si="28"/>
        <v>0</v>
      </c>
      <c r="V640" t="b">
        <f t="shared" si="29"/>
        <v>0</v>
      </c>
    </row>
    <row r="641" spans="1:22" x14ac:dyDescent="0.3">
      <c r="A641" t="s">
        <v>1553</v>
      </c>
      <c r="B641">
        <v>2022</v>
      </c>
      <c r="C641" t="s">
        <v>1503</v>
      </c>
      <c r="D641" t="s">
        <v>21</v>
      </c>
      <c r="E641" t="s">
        <v>1554</v>
      </c>
      <c r="F641" t="s">
        <v>35</v>
      </c>
      <c r="G641" t="s">
        <v>24</v>
      </c>
      <c r="H641">
        <v>1</v>
      </c>
      <c r="I641">
        <v>1</v>
      </c>
      <c r="J641">
        <v>0</v>
      </c>
      <c r="K641">
        <v>1</v>
      </c>
      <c r="L641">
        <v>1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f t="shared" si="27"/>
        <v>5</v>
      </c>
      <c r="U641">
        <f t="shared" si="28"/>
        <v>1</v>
      </c>
      <c r="V641" t="b">
        <f t="shared" si="29"/>
        <v>1</v>
      </c>
    </row>
    <row r="642" spans="1:22" x14ac:dyDescent="0.3">
      <c r="A642" t="s">
        <v>1555</v>
      </c>
      <c r="B642">
        <v>2022</v>
      </c>
      <c r="C642" t="s">
        <v>1494</v>
      </c>
      <c r="D642" t="s">
        <v>21</v>
      </c>
      <c r="E642" t="s">
        <v>1556</v>
      </c>
      <c r="F642" t="s">
        <v>35</v>
      </c>
      <c r="G642" t="s">
        <v>24</v>
      </c>
      <c r="H642">
        <v>0</v>
      </c>
      <c r="I642">
        <v>1</v>
      </c>
      <c r="J642">
        <v>0</v>
      </c>
      <c r="K642">
        <v>0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f t="shared" si="27"/>
        <v>3</v>
      </c>
      <c r="U642">
        <f t="shared" si="28"/>
        <v>1</v>
      </c>
      <c r="V642" t="b">
        <f t="shared" si="29"/>
        <v>0</v>
      </c>
    </row>
    <row r="643" spans="1:22" x14ac:dyDescent="0.3">
      <c r="A643" t="s">
        <v>1557</v>
      </c>
      <c r="B643">
        <v>2022</v>
      </c>
      <c r="C643" t="s">
        <v>1466</v>
      </c>
      <c r="D643" t="s">
        <v>21</v>
      </c>
      <c r="E643" t="s">
        <v>1558</v>
      </c>
      <c r="F643" t="s">
        <v>23</v>
      </c>
      <c r="G643" t="s">
        <v>24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f t="shared" ref="T643:T706" si="30">SUM(H643:M643)</f>
        <v>2</v>
      </c>
      <c r="U643">
        <f t="shared" ref="U643:U706" si="31">SUM(N643:R643)</f>
        <v>0</v>
      </c>
      <c r="V643" t="b">
        <f t="shared" ref="V643:V706" si="32">T643&gt;4</f>
        <v>0</v>
      </c>
    </row>
    <row r="644" spans="1:22" x14ac:dyDescent="0.3">
      <c r="A644" t="s">
        <v>1559</v>
      </c>
      <c r="B644">
        <v>2022</v>
      </c>
      <c r="C644" t="s">
        <v>1478</v>
      </c>
      <c r="D644" t="s">
        <v>21</v>
      </c>
      <c r="E644" t="s">
        <v>1560</v>
      </c>
      <c r="F644" t="s">
        <v>23</v>
      </c>
      <c r="G644" t="s">
        <v>24</v>
      </c>
      <c r="H644">
        <v>1</v>
      </c>
      <c r="I644">
        <v>1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f t="shared" si="30"/>
        <v>5</v>
      </c>
      <c r="U644">
        <f t="shared" si="31"/>
        <v>1</v>
      </c>
      <c r="V644" t="b">
        <f t="shared" si="32"/>
        <v>1</v>
      </c>
    </row>
    <row r="645" spans="1:22" x14ac:dyDescent="0.3">
      <c r="A645" t="s">
        <v>1561</v>
      </c>
      <c r="B645">
        <v>2022</v>
      </c>
      <c r="C645" t="s">
        <v>37</v>
      </c>
      <c r="D645" t="s">
        <v>29</v>
      </c>
      <c r="E645" t="s">
        <v>1562</v>
      </c>
      <c r="F645" t="s">
        <v>39</v>
      </c>
      <c r="G645" t="s">
        <v>24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f t="shared" si="30"/>
        <v>3</v>
      </c>
      <c r="U645">
        <f t="shared" si="31"/>
        <v>1</v>
      </c>
      <c r="V645" t="b">
        <f t="shared" si="32"/>
        <v>0</v>
      </c>
    </row>
    <row r="646" spans="1:22" x14ac:dyDescent="0.3">
      <c r="A646" t="s">
        <v>1563</v>
      </c>
      <c r="B646">
        <v>2022</v>
      </c>
      <c r="C646" t="s">
        <v>37</v>
      </c>
      <c r="D646" t="s">
        <v>29</v>
      </c>
      <c r="E646" t="s">
        <v>1564</v>
      </c>
      <c r="F646" t="s">
        <v>39</v>
      </c>
      <c r="G646" t="s">
        <v>24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f t="shared" si="30"/>
        <v>2</v>
      </c>
      <c r="U646">
        <f t="shared" si="31"/>
        <v>0</v>
      </c>
      <c r="V646" t="b">
        <f t="shared" si="32"/>
        <v>0</v>
      </c>
    </row>
    <row r="647" spans="1:22" x14ac:dyDescent="0.3">
      <c r="A647" t="s">
        <v>1565</v>
      </c>
      <c r="B647">
        <v>2022</v>
      </c>
      <c r="C647" t="s">
        <v>28</v>
      </c>
      <c r="D647" t="s">
        <v>29</v>
      </c>
      <c r="E647" t="s">
        <v>1566</v>
      </c>
      <c r="F647" t="s">
        <v>31</v>
      </c>
      <c r="G647" t="s">
        <v>24</v>
      </c>
      <c r="H647">
        <v>1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f t="shared" si="30"/>
        <v>3</v>
      </c>
      <c r="U647">
        <f t="shared" si="31"/>
        <v>0</v>
      </c>
      <c r="V647" t="b">
        <f t="shared" si="32"/>
        <v>0</v>
      </c>
    </row>
    <row r="648" spans="1:22" x14ac:dyDescent="0.3">
      <c r="A648" t="s">
        <v>1567</v>
      </c>
      <c r="B648">
        <v>2022</v>
      </c>
      <c r="C648" t="s">
        <v>53</v>
      </c>
      <c r="D648" t="s">
        <v>29</v>
      </c>
      <c r="E648" t="s">
        <v>1568</v>
      </c>
      <c r="F648" t="s">
        <v>31</v>
      </c>
      <c r="G648" t="s">
        <v>24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f t="shared" si="30"/>
        <v>6</v>
      </c>
      <c r="U648">
        <f t="shared" si="31"/>
        <v>0</v>
      </c>
      <c r="V648" t="b">
        <f t="shared" si="32"/>
        <v>1</v>
      </c>
    </row>
    <row r="649" spans="1:22" x14ac:dyDescent="0.3">
      <c r="A649" t="s">
        <v>1569</v>
      </c>
      <c r="B649">
        <v>2022</v>
      </c>
      <c r="C649" t="s">
        <v>1503</v>
      </c>
      <c r="D649" t="s">
        <v>21</v>
      </c>
      <c r="E649" t="s">
        <v>1570</v>
      </c>
      <c r="F649" t="s">
        <v>35</v>
      </c>
      <c r="G649" t="s">
        <v>24</v>
      </c>
      <c r="H649">
        <v>1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f t="shared" si="30"/>
        <v>3</v>
      </c>
      <c r="U649">
        <f t="shared" si="31"/>
        <v>0</v>
      </c>
      <c r="V649" t="b">
        <f t="shared" si="32"/>
        <v>0</v>
      </c>
    </row>
    <row r="650" spans="1:22" x14ac:dyDescent="0.3">
      <c r="A650" t="s">
        <v>1571</v>
      </c>
      <c r="B650">
        <v>2022</v>
      </c>
      <c r="C650" t="s">
        <v>1475</v>
      </c>
      <c r="D650" t="s">
        <v>21</v>
      </c>
      <c r="E650" t="s">
        <v>1572</v>
      </c>
      <c r="F650" t="s">
        <v>23</v>
      </c>
      <c r="G650" t="s">
        <v>24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f t="shared" si="30"/>
        <v>3</v>
      </c>
      <c r="U650">
        <f t="shared" si="31"/>
        <v>0</v>
      </c>
      <c r="V650" t="b">
        <f t="shared" si="32"/>
        <v>0</v>
      </c>
    </row>
    <row r="651" spans="1:22" x14ac:dyDescent="0.3">
      <c r="A651" t="s">
        <v>1573</v>
      </c>
      <c r="B651">
        <v>2022</v>
      </c>
      <c r="C651" t="s">
        <v>1466</v>
      </c>
      <c r="D651" t="s">
        <v>21</v>
      </c>
      <c r="E651" t="s">
        <v>1574</v>
      </c>
      <c r="F651" t="s">
        <v>23</v>
      </c>
      <c r="G651" t="s">
        <v>24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f t="shared" si="30"/>
        <v>3</v>
      </c>
      <c r="U651">
        <f t="shared" si="31"/>
        <v>0</v>
      </c>
      <c r="V651" t="b">
        <f t="shared" si="32"/>
        <v>0</v>
      </c>
    </row>
    <row r="652" spans="1:22" x14ac:dyDescent="0.3">
      <c r="A652" t="s">
        <v>1575</v>
      </c>
      <c r="B652">
        <v>2022</v>
      </c>
      <c r="C652" t="s">
        <v>1475</v>
      </c>
      <c r="D652" t="s">
        <v>21</v>
      </c>
      <c r="E652" t="s">
        <v>1576</v>
      </c>
      <c r="F652" t="s">
        <v>23</v>
      </c>
      <c r="G652" t="s">
        <v>24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f t="shared" si="30"/>
        <v>3</v>
      </c>
      <c r="U652">
        <f t="shared" si="31"/>
        <v>0</v>
      </c>
      <c r="V652" t="b">
        <f t="shared" si="32"/>
        <v>0</v>
      </c>
    </row>
    <row r="653" spans="1:22" x14ac:dyDescent="0.3">
      <c r="A653" t="s">
        <v>1577</v>
      </c>
      <c r="B653">
        <v>2022</v>
      </c>
      <c r="C653" t="s">
        <v>28</v>
      </c>
      <c r="D653" t="s">
        <v>29</v>
      </c>
      <c r="E653" t="s">
        <v>1578</v>
      </c>
      <c r="F653" t="s">
        <v>31</v>
      </c>
      <c r="G653" t="s">
        <v>24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f t="shared" si="30"/>
        <v>2</v>
      </c>
      <c r="U653">
        <f t="shared" si="31"/>
        <v>0</v>
      </c>
      <c r="V653" t="b">
        <f t="shared" si="32"/>
        <v>0</v>
      </c>
    </row>
    <row r="654" spans="1:22" x14ac:dyDescent="0.3">
      <c r="A654" t="s">
        <v>1579</v>
      </c>
      <c r="B654">
        <v>2022</v>
      </c>
      <c r="C654" t="s">
        <v>1494</v>
      </c>
      <c r="D654" t="s">
        <v>21</v>
      </c>
      <c r="E654" t="s">
        <v>1580</v>
      </c>
      <c r="F654" t="s">
        <v>35</v>
      </c>
      <c r="G654" t="s">
        <v>24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f t="shared" si="30"/>
        <v>2</v>
      </c>
      <c r="U654">
        <f t="shared" si="31"/>
        <v>0</v>
      </c>
      <c r="V654" t="b">
        <f t="shared" si="32"/>
        <v>0</v>
      </c>
    </row>
    <row r="655" spans="1:22" x14ac:dyDescent="0.3">
      <c r="A655" t="s">
        <v>1581</v>
      </c>
      <c r="B655">
        <v>2022</v>
      </c>
      <c r="C655" t="s">
        <v>1582</v>
      </c>
      <c r="D655" t="s">
        <v>21</v>
      </c>
      <c r="E655" t="s">
        <v>1583</v>
      </c>
      <c r="F655" t="s">
        <v>35</v>
      </c>
      <c r="G655" t="s">
        <v>24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f t="shared" si="30"/>
        <v>2</v>
      </c>
      <c r="U655">
        <f t="shared" si="31"/>
        <v>0</v>
      </c>
      <c r="V655" t="b">
        <f t="shared" si="32"/>
        <v>0</v>
      </c>
    </row>
    <row r="656" spans="1:22" x14ac:dyDescent="0.3">
      <c r="A656" t="s">
        <v>1584</v>
      </c>
      <c r="B656">
        <v>2022</v>
      </c>
      <c r="C656" t="s">
        <v>1585</v>
      </c>
      <c r="D656" t="s">
        <v>21</v>
      </c>
      <c r="E656" t="s">
        <v>1586</v>
      </c>
      <c r="F656" t="s">
        <v>35</v>
      </c>
      <c r="G656" t="s">
        <v>24</v>
      </c>
      <c r="H656">
        <v>0</v>
      </c>
      <c r="I656">
        <v>1</v>
      </c>
      <c r="J656">
        <v>0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f t="shared" si="30"/>
        <v>3</v>
      </c>
      <c r="U656">
        <f t="shared" si="31"/>
        <v>1</v>
      </c>
      <c r="V656" t="b">
        <f t="shared" si="32"/>
        <v>0</v>
      </c>
    </row>
    <row r="657" spans="1:22" x14ac:dyDescent="0.3">
      <c r="A657" t="s">
        <v>1587</v>
      </c>
      <c r="B657">
        <v>2022</v>
      </c>
      <c r="C657" t="s">
        <v>1481</v>
      </c>
      <c r="D657" t="s">
        <v>21</v>
      </c>
      <c r="E657" t="s">
        <v>1588</v>
      </c>
      <c r="F657" t="s">
        <v>23</v>
      </c>
      <c r="G657" t="s">
        <v>24</v>
      </c>
      <c r="H657">
        <v>1</v>
      </c>
      <c r="I657">
        <v>1</v>
      </c>
      <c r="J657">
        <v>0</v>
      </c>
      <c r="K657">
        <v>1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f t="shared" si="30"/>
        <v>5</v>
      </c>
      <c r="U657">
        <f t="shared" si="31"/>
        <v>0</v>
      </c>
      <c r="V657" t="b">
        <f t="shared" si="32"/>
        <v>1</v>
      </c>
    </row>
    <row r="658" spans="1:22" x14ac:dyDescent="0.3">
      <c r="A658" t="s">
        <v>1589</v>
      </c>
      <c r="B658">
        <v>2022</v>
      </c>
      <c r="C658" t="s">
        <v>1582</v>
      </c>
      <c r="D658" t="s">
        <v>21</v>
      </c>
      <c r="E658" t="s">
        <v>1590</v>
      </c>
      <c r="F658" t="s">
        <v>35</v>
      </c>
      <c r="G658" t="s">
        <v>24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f t="shared" si="30"/>
        <v>2</v>
      </c>
      <c r="U658">
        <f t="shared" si="31"/>
        <v>0</v>
      </c>
      <c r="V658" t="b">
        <f t="shared" si="32"/>
        <v>0</v>
      </c>
    </row>
    <row r="659" spans="1:22" x14ac:dyDescent="0.3">
      <c r="A659" t="s">
        <v>1591</v>
      </c>
      <c r="B659">
        <v>2022</v>
      </c>
      <c r="C659" t="s">
        <v>1466</v>
      </c>
      <c r="D659" t="s">
        <v>21</v>
      </c>
      <c r="E659" t="s">
        <v>1592</v>
      </c>
      <c r="F659" t="s">
        <v>23</v>
      </c>
      <c r="G659" t="s">
        <v>24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f t="shared" si="30"/>
        <v>3</v>
      </c>
      <c r="U659">
        <f t="shared" si="31"/>
        <v>1</v>
      </c>
      <c r="V659" t="b">
        <f t="shared" si="32"/>
        <v>0</v>
      </c>
    </row>
    <row r="660" spans="1:22" x14ac:dyDescent="0.3">
      <c r="A660" t="s">
        <v>1593</v>
      </c>
      <c r="B660">
        <v>2022</v>
      </c>
      <c r="C660" t="s">
        <v>37</v>
      </c>
      <c r="D660" t="s">
        <v>29</v>
      </c>
      <c r="E660" t="s">
        <v>1594</v>
      </c>
      <c r="F660" t="s">
        <v>39</v>
      </c>
      <c r="G660" t="s">
        <v>24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f t="shared" si="30"/>
        <v>2</v>
      </c>
      <c r="U660">
        <f t="shared" si="31"/>
        <v>0</v>
      </c>
      <c r="V660" t="b">
        <f t="shared" si="32"/>
        <v>0</v>
      </c>
    </row>
    <row r="661" spans="1:22" x14ac:dyDescent="0.3">
      <c r="A661" t="s">
        <v>1595</v>
      </c>
      <c r="B661">
        <v>2022</v>
      </c>
      <c r="C661" t="s">
        <v>1596</v>
      </c>
      <c r="D661" t="s">
        <v>21</v>
      </c>
      <c r="E661" t="s">
        <v>1597</v>
      </c>
      <c r="F661" t="s">
        <v>35</v>
      </c>
      <c r="G661" t="s">
        <v>24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f t="shared" si="30"/>
        <v>2</v>
      </c>
      <c r="U661">
        <f t="shared" si="31"/>
        <v>0</v>
      </c>
      <c r="V661" t="b">
        <f t="shared" si="32"/>
        <v>0</v>
      </c>
    </row>
    <row r="662" spans="1:22" x14ac:dyDescent="0.3">
      <c r="A662" t="s">
        <v>1598</v>
      </c>
      <c r="B662">
        <v>2022</v>
      </c>
      <c r="C662" t="s">
        <v>1494</v>
      </c>
      <c r="D662" t="s">
        <v>21</v>
      </c>
      <c r="E662" t="s">
        <v>1599</v>
      </c>
      <c r="F662" t="s">
        <v>35</v>
      </c>
      <c r="G662" t="s">
        <v>24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f t="shared" si="30"/>
        <v>2</v>
      </c>
      <c r="U662">
        <f t="shared" si="31"/>
        <v>0</v>
      </c>
      <c r="V662" t="b">
        <f t="shared" si="32"/>
        <v>0</v>
      </c>
    </row>
    <row r="663" spans="1:22" x14ac:dyDescent="0.3">
      <c r="A663" t="s">
        <v>1600</v>
      </c>
      <c r="B663">
        <v>2022</v>
      </c>
      <c r="C663" t="s">
        <v>1596</v>
      </c>
      <c r="D663" t="s">
        <v>21</v>
      </c>
      <c r="E663" t="s">
        <v>1601</v>
      </c>
      <c r="F663" t="s">
        <v>35</v>
      </c>
      <c r="G663" t="s">
        <v>24</v>
      </c>
      <c r="H663">
        <v>0</v>
      </c>
      <c r="I663">
        <v>1</v>
      </c>
      <c r="J663">
        <v>0</v>
      </c>
      <c r="K663">
        <v>0</v>
      </c>
      <c r="L663">
        <v>1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f t="shared" si="30"/>
        <v>3</v>
      </c>
      <c r="U663">
        <f t="shared" si="31"/>
        <v>1</v>
      </c>
      <c r="V663" t="b">
        <f t="shared" si="32"/>
        <v>0</v>
      </c>
    </row>
    <row r="664" spans="1:22" x14ac:dyDescent="0.3">
      <c r="A664" t="s">
        <v>1602</v>
      </c>
      <c r="B664">
        <v>2022</v>
      </c>
      <c r="C664" t="s">
        <v>1603</v>
      </c>
      <c r="D664" t="s">
        <v>21</v>
      </c>
      <c r="E664" t="s">
        <v>1604</v>
      </c>
      <c r="F664" t="s">
        <v>35</v>
      </c>
      <c r="G664" t="s">
        <v>24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f t="shared" si="30"/>
        <v>2</v>
      </c>
      <c r="U664">
        <f t="shared" si="31"/>
        <v>0</v>
      </c>
      <c r="V664" t="b">
        <f t="shared" si="32"/>
        <v>0</v>
      </c>
    </row>
    <row r="665" spans="1:22" x14ac:dyDescent="0.3">
      <c r="A665" t="s">
        <v>1605</v>
      </c>
      <c r="B665">
        <v>2022</v>
      </c>
      <c r="C665" t="s">
        <v>549</v>
      </c>
      <c r="D665" t="s">
        <v>29</v>
      </c>
      <c r="E665" t="s">
        <v>1606</v>
      </c>
      <c r="F665" t="s">
        <v>31</v>
      </c>
      <c r="G665" t="s">
        <v>24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f t="shared" si="30"/>
        <v>2</v>
      </c>
      <c r="U665">
        <f t="shared" si="31"/>
        <v>0</v>
      </c>
      <c r="V665" t="b">
        <f t="shared" si="32"/>
        <v>0</v>
      </c>
    </row>
    <row r="666" spans="1:22" x14ac:dyDescent="0.3">
      <c r="A666" t="s">
        <v>1607</v>
      </c>
      <c r="B666">
        <v>2022</v>
      </c>
      <c r="C666" t="s">
        <v>1494</v>
      </c>
      <c r="D666" t="s">
        <v>21</v>
      </c>
      <c r="E666" t="s">
        <v>1608</v>
      </c>
      <c r="F666" t="s">
        <v>35</v>
      </c>
      <c r="G666" t="s">
        <v>24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f t="shared" si="30"/>
        <v>2</v>
      </c>
      <c r="U666">
        <f t="shared" si="31"/>
        <v>0</v>
      </c>
      <c r="V666" t="b">
        <f t="shared" si="32"/>
        <v>0</v>
      </c>
    </row>
    <row r="667" spans="1:22" x14ac:dyDescent="0.3">
      <c r="A667" t="s">
        <v>1609</v>
      </c>
      <c r="B667">
        <v>2022</v>
      </c>
      <c r="C667" t="s">
        <v>1610</v>
      </c>
      <c r="D667" t="s">
        <v>323</v>
      </c>
      <c r="E667" t="s">
        <v>1611</v>
      </c>
      <c r="F667" t="s">
        <v>23</v>
      </c>
      <c r="G667" t="s">
        <v>24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f t="shared" si="30"/>
        <v>3</v>
      </c>
      <c r="U667">
        <f t="shared" si="31"/>
        <v>1</v>
      </c>
      <c r="V667" t="b">
        <f t="shared" si="32"/>
        <v>0</v>
      </c>
    </row>
    <row r="668" spans="1:22" x14ac:dyDescent="0.3">
      <c r="A668" t="s">
        <v>1612</v>
      </c>
      <c r="B668">
        <v>2022</v>
      </c>
      <c r="C668" t="s">
        <v>1613</v>
      </c>
      <c r="D668" t="s">
        <v>21</v>
      </c>
      <c r="E668" t="s">
        <v>1614</v>
      </c>
      <c r="F668" t="s">
        <v>23</v>
      </c>
      <c r="G668" t="s">
        <v>24</v>
      </c>
      <c r="H668">
        <v>1</v>
      </c>
      <c r="I668">
        <v>1</v>
      </c>
      <c r="J668">
        <v>0</v>
      </c>
      <c r="K668">
        <v>1</v>
      </c>
      <c r="L668">
        <v>1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f t="shared" si="30"/>
        <v>5</v>
      </c>
      <c r="U668">
        <f t="shared" si="31"/>
        <v>0</v>
      </c>
      <c r="V668" t="b">
        <f t="shared" si="32"/>
        <v>1</v>
      </c>
    </row>
    <row r="669" spans="1:22" x14ac:dyDescent="0.3">
      <c r="A669" t="s">
        <v>1615</v>
      </c>
      <c r="B669">
        <v>2022</v>
      </c>
      <c r="C669" t="s">
        <v>674</v>
      </c>
      <c r="D669" t="s">
        <v>29</v>
      </c>
      <c r="E669" t="s">
        <v>1616</v>
      </c>
      <c r="F669" t="s">
        <v>31</v>
      </c>
      <c r="G669" t="s">
        <v>24</v>
      </c>
      <c r="H669">
        <v>1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f t="shared" si="30"/>
        <v>3</v>
      </c>
      <c r="U669">
        <f t="shared" si="31"/>
        <v>0</v>
      </c>
      <c r="V669" t="b">
        <f t="shared" si="32"/>
        <v>0</v>
      </c>
    </row>
    <row r="670" spans="1:22" x14ac:dyDescent="0.3">
      <c r="A670" t="s">
        <v>1617</v>
      </c>
      <c r="B670">
        <v>2022</v>
      </c>
      <c r="C670" t="s">
        <v>1618</v>
      </c>
      <c r="D670" t="s">
        <v>21</v>
      </c>
      <c r="E670" t="s">
        <v>1619</v>
      </c>
      <c r="F670" t="s">
        <v>23</v>
      </c>
      <c r="G670" t="s">
        <v>24</v>
      </c>
      <c r="H670">
        <v>1</v>
      </c>
      <c r="I670">
        <v>0</v>
      </c>
      <c r="J670">
        <v>1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f t="shared" si="30"/>
        <v>4</v>
      </c>
      <c r="U670">
        <f t="shared" si="31"/>
        <v>0</v>
      </c>
      <c r="V670" t="b">
        <f t="shared" si="32"/>
        <v>0</v>
      </c>
    </row>
    <row r="671" spans="1:22" x14ac:dyDescent="0.3">
      <c r="A671" t="s">
        <v>1620</v>
      </c>
      <c r="B671">
        <v>2022</v>
      </c>
      <c r="C671" t="s">
        <v>1621</v>
      </c>
      <c r="D671" t="s">
        <v>29</v>
      </c>
      <c r="E671" t="s">
        <v>1622</v>
      </c>
      <c r="F671" t="s">
        <v>31</v>
      </c>
      <c r="G671" t="s">
        <v>24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f t="shared" si="30"/>
        <v>3</v>
      </c>
      <c r="U671">
        <f t="shared" si="31"/>
        <v>1</v>
      </c>
      <c r="V671" t="b">
        <f t="shared" si="32"/>
        <v>0</v>
      </c>
    </row>
    <row r="672" spans="1:22" x14ac:dyDescent="0.3">
      <c r="A672" t="s">
        <v>1623</v>
      </c>
      <c r="B672">
        <v>2022</v>
      </c>
      <c r="C672" t="s">
        <v>133</v>
      </c>
      <c r="D672" t="s">
        <v>29</v>
      </c>
      <c r="E672" t="s">
        <v>1624</v>
      </c>
      <c r="F672" t="s">
        <v>39</v>
      </c>
      <c r="G672" t="s">
        <v>24</v>
      </c>
      <c r="H672">
        <v>1</v>
      </c>
      <c r="I672">
        <v>1</v>
      </c>
      <c r="J672">
        <v>0</v>
      </c>
      <c r="K672">
        <v>1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f t="shared" si="30"/>
        <v>5</v>
      </c>
      <c r="U672">
        <f t="shared" si="31"/>
        <v>0</v>
      </c>
      <c r="V672" t="b">
        <f t="shared" si="32"/>
        <v>1</v>
      </c>
    </row>
    <row r="673" spans="1:22" x14ac:dyDescent="0.3">
      <c r="A673" t="s">
        <v>1625</v>
      </c>
      <c r="B673">
        <v>2022</v>
      </c>
      <c r="C673" t="s">
        <v>1626</v>
      </c>
      <c r="D673" t="s">
        <v>21</v>
      </c>
      <c r="E673" t="s">
        <v>1627</v>
      </c>
      <c r="F673" t="s">
        <v>23</v>
      </c>
      <c r="G673" t="s">
        <v>24</v>
      </c>
      <c r="H673">
        <v>0</v>
      </c>
      <c r="I673">
        <v>1</v>
      </c>
      <c r="J673">
        <v>0</v>
      </c>
      <c r="K673">
        <v>0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f t="shared" si="30"/>
        <v>3</v>
      </c>
      <c r="U673">
        <f t="shared" si="31"/>
        <v>1</v>
      </c>
      <c r="V673" t="b">
        <f t="shared" si="32"/>
        <v>0</v>
      </c>
    </row>
    <row r="674" spans="1:22" x14ac:dyDescent="0.3">
      <c r="A674" t="s">
        <v>1628</v>
      </c>
      <c r="B674">
        <v>2022</v>
      </c>
      <c r="C674" t="s">
        <v>1629</v>
      </c>
      <c r="D674" t="s">
        <v>21</v>
      </c>
      <c r="E674" t="s">
        <v>1630</v>
      </c>
      <c r="F674" t="s">
        <v>23</v>
      </c>
      <c r="G674" t="s">
        <v>24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f t="shared" si="30"/>
        <v>3</v>
      </c>
      <c r="U674">
        <f t="shared" si="31"/>
        <v>0</v>
      </c>
      <c r="V674" t="b">
        <f t="shared" si="32"/>
        <v>0</v>
      </c>
    </row>
    <row r="675" spans="1:22" x14ac:dyDescent="0.3">
      <c r="A675" t="s">
        <v>1631</v>
      </c>
      <c r="B675">
        <v>2022</v>
      </c>
      <c r="C675" t="s">
        <v>133</v>
      </c>
      <c r="D675" t="s">
        <v>130</v>
      </c>
      <c r="E675" t="s">
        <v>1632</v>
      </c>
      <c r="F675" t="s">
        <v>39</v>
      </c>
      <c r="G675" t="s">
        <v>24</v>
      </c>
      <c r="H675">
        <v>1</v>
      </c>
      <c r="I675">
        <v>1</v>
      </c>
      <c r="J675">
        <v>0</v>
      </c>
      <c r="K675">
        <v>1</v>
      </c>
      <c r="L675">
        <v>1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f t="shared" si="30"/>
        <v>5</v>
      </c>
      <c r="U675">
        <f t="shared" si="31"/>
        <v>0</v>
      </c>
      <c r="V675" t="b">
        <f t="shared" si="32"/>
        <v>1</v>
      </c>
    </row>
    <row r="676" spans="1:22" x14ac:dyDescent="0.3">
      <c r="A676" t="s">
        <v>1633</v>
      </c>
      <c r="B676">
        <v>2022</v>
      </c>
      <c r="C676" t="s">
        <v>133</v>
      </c>
      <c r="D676" t="s">
        <v>29</v>
      </c>
      <c r="E676" t="s">
        <v>1634</v>
      </c>
      <c r="F676" t="s">
        <v>39</v>
      </c>
      <c r="G676" t="s">
        <v>24</v>
      </c>
      <c r="H676">
        <v>1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f t="shared" si="30"/>
        <v>5</v>
      </c>
      <c r="U676">
        <f t="shared" si="31"/>
        <v>1</v>
      </c>
      <c r="V676" t="b">
        <f t="shared" si="32"/>
        <v>1</v>
      </c>
    </row>
    <row r="677" spans="1:22" x14ac:dyDescent="0.3">
      <c r="A677" t="s">
        <v>1635</v>
      </c>
      <c r="B677">
        <v>2022</v>
      </c>
      <c r="C677" t="s">
        <v>129</v>
      </c>
      <c r="D677" t="s">
        <v>130</v>
      </c>
      <c r="E677" t="s">
        <v>1636</v>
      </c>
      <c r="F677" t="s">
        <v>39</v>
      </c>
      <c r="G677" t="s">
        <v>24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f t="shared" si="30"/>
        <v>3</v>
      </c>
      <c r="U677">
        <f t="shared" si="31"/>
        <v>0</v>
      </c>
      <c r="V677" t="b">
        <f t="shared" si="32"/>
        <v>0</v>
      </c>
    </row>
    <row r="678" spans="1:22" x14ac:dyDescent="0.3">
      <c r="A678" t="s">
        <v>1637</v>
      </c>
      <c r="B678">
        <v>2022</v>
      </c>
      <c r="C678" t="s">
        <v>133</v>
      </c>
      <c r="D678" t="s">
        <v>29</v>
      </c>
      <c r="E678" t="s">
        <v>1638</v>
      </c>
      <c r="F678" t="s">
        <v>39</v>
      </c>
      <c r="G678" t="s">
        <v>24</v>
      </c>
      <c r="H678">
        <v>1</v>
      </c>
      <c r="I678">
        <v>1</v>
      </c>
      <c r="J678">
        <v>0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f t="shared" si="30"/>
        <v>5</v>
      </c>
      <c r="U678">
        <f t="shared" si="31"/>
        <v>0</v>
      </c>
      <c r="V678" t="b">
        <f t="shared" si="32"/>
        <v>1</v>
      </c>
    </row>
    <row r="679" spans="1:22" x14ac:dyDescent="0.3">
      <c r="A679" t="s">
        <v>1639</v>
      </c>
      <c r="B679">
        <v>2022</v>
      </c>
      <c r="C679" t="s">
        <v>133</v>
      </c>
      <c r="D679" t="s">
        <v>29</v>
      </c>
      <c r="E679" t="s">
        <v>1640</v>
      </c>
      <c r="F679" t="s">
        <v>39</v>
      </c>
      <c r="G679" t="s">
        <v>24</v>
      </c>
      <c r="H679">
        <v>1</v>
      </c>
      <c r="I679">
        <v>1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f t="shared" si="30"/>
        <v>5</v>
      </c>
      <c r="U679">
        <f t="shared" si="31"/>
        <v>0</v>
      </c>
      <c r="V679" t="b">
        <f t="shared" si="32"/>
        <v>1</v>
      </c>
    </row>
    <row r="680" spans="1:22" x14ac:dyDescent="0.3">
      <c r="A680" t="s">
        <v>1641</v>
      </c>
      <c r="B680">
        <v>2022</v>
      </c>
      <c r="C680" t="s">
        <v>1642</v>
      </c>
      <c r="D680" t="s">
        <v>21</v>
      </c>
      <c r="E680" t="s">
        <v>1643</v>
      </c>
      <c r="F680" t="s">
        <v>35</v>
      </c>
      <c r="G680" t="s">
        <v>24</v>
      </c>
      <c r="H680">
        <v>1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f t="shared" si="30"/>
        <v>3</v>
      </c>
      <c r="U680">
        <f t="shared" si="31"/>
        <v>0</v>
      </c>
      <c r="V680" t="b">
        <f t="shared" si="32"/>
        <v>0</v>
      </c>
    </row>
    <row r="681" spans="1:22" x14ac:dyDescent="0.3">
      <c r="A681" t="s">
        <v>1644</v>
      </c>
      <c r="B681">
        <v>2022</v>
      </c>
      <c r="C681" t="s">
        <v>129</v>
      </c>
      <c r="D681" t="s">
        <v>29</v>
      </c>
      <c r="E681" t="s">
        <v>1645</v>
      </c>
      <c r="F681" t="s">
        <v>39</v>
      </c>
      <c r="G681" t="s">
        <v>24</v>
      </c>
      <c r="H681">
        <v>0</v>
      </c>
      <c r="I681">
        <v>1</v>
      </c>
      <c r="J681">
        <v>1</v>
      </c>
      <c r="K681">
        <v>0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  <c r="T681">
        <f t="shared" si="30"/>
        <v>4</v>
      </c>
      <c r="U681">
        <f t="shared" si="31"/>
        <v>1</v>
      </c>
      <c r="V681" t="b">
        <f t="shared" si="32"/>
        <v>0</v>
      </c>
    </row>
    <row r="682" spans="1:22" x14ac:dyDescent="0.3">
      <c r="A682" t="s">
        <v>1646</v>
      </c>
      <c r="B682">
        <v>2022</v>
      </c>
      <c r="C682" t="s">
        <v>129</v>
      </c>
      <c r="D682" t="s">
        <v>29</v>
      </c>
      <c r="E682" t="s">
        <v>1647</v>
      </c>
      <c r="F682" t="s">
        <v>39</v>
      </c>
      <c r="G682" t="s">
        <v>24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f t="shared" si="30"/>
        <v>3</v>
      </c>
      <c r="U682">
        <f t="shared" si="31"/>
        <v>0</v>
      </c>
      <c r="V682" t="b">
        <f t="shared" si="32"/>
        <v>0</v>
      </c>
    </row>
    <row r="683" spans="1:22" x14ac:dyDescent="0.3">
      <c r="A683" t="s">
        <v>1648</v>
      </c>
      <c r="B683">
        <v>2022</v>
      </c>
      <c r="C683" t="s">
        <v>133</v>
      </c>
      <c r="D683" t="s">
        <v>29</v>
      </c>
      <c r="E683" t="s">
        <v>1649</v>
      </c>
      <c r="F683" t="s">
        <v>39</v>
      </c>
      <c r="G683" t="s">
        <v>24</v>
      </c>
      <c r="H683">
        <v>1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f t="shared" si="30"/>
        <v>3</v>
      </c>
      <c r="U683">
        <f t="shared" si="31"/>
        <v>0</v>
      </c>
      <c r="V683" t="b">
        <f t="shared" si="32"/>
        <v>0</v>
      </c>
    </row>
    <row r="684" spans="1:22" x14ac:dyDescent="0.3">
      <c r="A684" t="s">
        <v>1650</v>
      </c>
      <c r="B684">
        <v>2022</v>
      </c>
      <c r="C684" t="s">
        <v>133</v>
      </c>
      <c r="D684" t="s">
        <v>29</v>
      </c>
      <c r="E684" t="s">
        <v>1651</v>
      </c>
      <c r="F684" t="s">
        <v>39</v>
      </c>
      <c r="G684" t="s">
        <v>24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f t="shared" si="30"/>
        <v>3</v>
      </c>
      <c r="U684">
        <f t="shared" si="31"/>
        <v>0</v>
      </c>
      <c r="V684" t="b">
        <f t="shared" si="32"/>
        <v>0</v>
      </c>
    </row>
    <row r="685" spans="1:22" x14ac:dyDescent="0.3">
      <c r="A685" t="s">
        <v>1652</v>
      </c>
      <c r="B685">
        <v>2022</v>
      </c>
      <c r="C685" t="s">
        <v>133</v>
      </c>
      <c r="D685" t="s">
        <v>29</v>
      </c>
      <c r="E685" t="s">
        <v>1653</v>
      </c>
      <c r="F685" t="s">
        <v>39</v>
      </c>
      <c r="G685" t="s">
        <v>24</v>
      </c>
      <c r="H685">
        <v>1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f t="shared" si="30"/>
        <v>3</v>
      </c>
      <c r="U685">
        <f t="shared" si="31"/>
        <v>0</v>
      </c>
      <c r="V685" t="b">
        <f t="shared" si="32"/>
        <v>0</v>
      </c>
    </row>
    <row r="686" spans="1:22" x14ac:dyDescent="0.3">
      <c r="A686" t="s">
        <v>1654</v>
      </c>
      <c r="B686">
        <v>2022</v>
      </c>
      <c r="C686" t="s">
        <v>133</v>
      </c>
      <c r="D686" t="s">
        <v>29</v>
      </c>
      <c r="E686" t="s">
        <v>1655</v>
      </c>
      <c r="F686" t="s">
        <v>39</v>
      </c>
      <c r="G686" t="s">
        <v>24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f t="shared" si="30"/>
        <v>6</v>
      </c>
      <c r="U686">
        <f t="shared" si="31"/>
        <v>0</v>
      </c>
      <c r="V686" t="b">
        <f t="shared" si="32"/>
        <v>1</v>
      </c>
    </row>
    <row r="687" spans="1:22" x14ac:dyDescent="0.3">
      <c r="A687" t="s">
        <v>1656</v>
      </c>
      <c r="B687">
        <v>2022</v>
      </c>
      <c r="C687" t="s">
        <v>133</v>
      </c>
      <c r="D687" t="s">
        <v>29</v>
      </c>
      <c r="E687" t="s">
        <v>1657</v>
      </c>
      <c r="F687" t="s">
        <v>39</v>
      </c>
      <c r="G687" t="s">
        <v>24</v>
      </c>
      <c r="H687">
        <v>1</v>
      </c>
      <c r="I687">
        <v>1</v>
      </c>
      <c r="J687">
        <v>0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f t="shared" si="30"/>
        <v>5</v>
      </c>
      <c r="U687">
        <f t="shared" si="31"/>
        <v>0</v>
      </c>
      <c r="V687" t="b">
        <f t="shared" si="32"/>
        <v>1</v>
      </c>
    </row>
    <row r="688" spans="1:22" x14ac:dyDescent="0.3">
      <c r="A688" t="s">
        <v>1658</v>
      </c>
      <c r="B688">
        <v>2022</v>
      </c>
      <c r="C688" t="s">
        <v>133</v>
      </c>
      <c r="D688" t="s">
        <v>29</v>
      </c>
      <c r="E688" t="s">
        <v>1659</v>
      </c>
      <c r="F688" t="s">
        <v>39</v>
      </c>
      <c r="G688" t="s">
        <v>24</v>
      </c>
      <c r="H688">
        <v>1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f t="shared" si="30"/>
        <v>3</v>
      </c>
      <c r="U688">
        <f t="shared" si="31"/>
        <v>0</v>
      </c>
      <c r="V688" t="b">
        <f t="shared" si="32"/>
        <v>0</v>
      </c>
    </row>
    <row r="689" spans="1:22" x14ac:dyDescent="0.3">
      <c r="A689" t="s">
        <v>1660</v>
      </c>
      <c r="B689">
        <v>2022</v>
      </c>
      <c r="C689" t="s">
        <v>133</v>
      </c>
      <c r="D689" t="s">
        <v>29</v>
      </c>
      <c r="E689" t="s">
        <v>1661</v>
      </c>
      <c r="F689" t="s">
        <v>39</v>
      </c>
      <c r="G689" t="s">
        <v>24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f t="shared" si="30"/>
        <v>3</v>
      </c>
      <c r="U689">
        <f t="shared" si="31"/>
        <v>0</v>
      </c>
      <c r="V689" t="b">
        <f t="shared" si="32"/>
        <v>0</v>
      </c>
    </row>
    <row r="690" spans="1:22" x14ac:dyDescent="0.3">
      <c r="A690" t="s">
        <v>1662</v>
      </c>
      <c r="B690">
        <v>2022</v>
      </c>
      <c r="C690" t="s">
        <v>129</v>
      </c>
      <c r="D690" t="s">
        <v>29</v>
      </c>
      <c r="E690" t="s">
        <v>1663</v>
      </c>
      <c r="F690" t="s">
        <v>39</v>
      </c>
      <c r="G690" t="s">
        <v>24</v>
      </c>
      <c r="H690">
        <v>1</v>
      </c>
      <c r="I690">
        <v>0</v>
      </c>
      <c r="J690">
        <v>1</v>
      </c>
      <c r="K690">
        <v>0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f t="shared" si="30"/>
        <v>4</v>
      </c>
      <c r="U690">
        <f t="shared" si="31"/>
        <v>0</v>
      </c>
      <c r="V690" t="b">
        <f t="shared" si="32"/>
        <v>0</v>
      </c>
    </row>
    <row r="691" spans="1:22" x14ac:dyDescent="0.3">
      <c r="A691" t="s">
        <v>1664</v>
      </c>
      <c r="B691">
        <v>2022</v>
      </c>
      <c r="C691" t="s">
        <v>133</v>
      </c>
      <c r="D691" t="s">
        <v>29</v>
      </c>
      <c r="E691" t="s">
        <v>1665</v>
      </c>
      <c r="F691" t="s">
        <v>39</v>
      </c>
      <c r="G691" t="s">
        <v>24</v>
      </c>
      <c r="H691">
        <v>1</v>
      </c>
      <c r="I691">
        <v>0</v>
      </c>
      <c r="J691">
        <v>1</v>
      </c>
      <c r="K691">
        <v>0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f t="shared" si="30"/>
        <v>4</v>
      </c>
      <c r="U691">
        <f t="shared" si="31"/>
        <v>0</v>
      </c>
      <c r="V691" t="b">
        <f t="shared" si="32"/>
        <v>0</v>
      </c>
    </row>
    <row r="692" spans="1:22" x14ac:dyDescent="0.3">
      <c r="A692" t="s">
        <v>1666</v>
      </c>
      <c r="B692">
        <v>2022</v>
      </c>
      <c r="C692" t="s">
        <v>1667</v>
      </c>
      <c r="D692" t="s">
        <v>323</v>
      </c>
      <c r="E692" t="s">
        <v>1668</v>
      </c>
      <c r="F692" t="s">
        <v>23</v>
      </c>
      <c r="G692" t="s">
        <v>24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f t="shared" si="30"/>
        <v>2</v>
      </c>
      <c r="U692">
        <f t="shared" si="31"/>
        <v>0</v>
      </c>
      <c r="V692" t="b">
        <f t="shared" si="32"/>
        <v>0</v>
      </c>
    </row>
    <row r="693" spans="1:22" x14ac:dyDescent="0.3">
      <c r="A693" t="s">
        <v>1669</v>
      </c>
      <c r="B693">
        <v>2022</v>
      </c>
      <c r="C693" t="s">
        <v>1082</v>
      </c>
      <c r="D693" t="s">
        <v>130</v>
      </c>
      <c r="E693" t="s">
        <v>1670</v>
      </c>
      <c r="F693" t="s">
        <v>31</v>
      </c>
      <c r="G693" t="s">
        <v>24</v>
      </c>
      <c r="H693">
        <v>0</v>
      </c>
      <c r="I693">
        <v>1</v>
      </c>
      <c r="J693">
        <v>1</v>
      </c>
      <c r="K693">
        <v>0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</v>
      </c>
      <c r="T693">
        <f t="shared" si="30"/>
        <v>4</v>
      </c>
      <c r="U693">
        <f t="shared" si="31"/>
        <v>1</v>
      </c>
      <c r="V693" t="b">
        <f t="shared" si="32"/>
        <v>0</v>
      </c>
    </row>
    <row r="694" spans="1:22" x14ac:dyDescent="0.3">
      <c r="A694" t="s">
        <v>1671</v>
      </c>
      <c r="B694">
        <v>2022</v>
      </c>
      <c r="C694" t="s">
        <v>590</v>
      </c>
      <c r="D694" t="s">
        <v>130</v>
      </c>
      <c r="E694" t="s">
        <v>1672</v>
      </c>
      <c r="F694" t="s">
        <v>31</v>
      </c>
      <c r="G694" t="s">
        <v>24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f t="shared" si="30"/>
        <v>3</v>
      </c>
      <c r="U694">
        <f t="shared" si="31"/>
        <v>1</v>
      </c>
      <c r="V694" t="b">
        <f t="shared" si="32"/>
        <v>0</v>
      </c>
    </row>
    <row r="695" spans="1:22" x14ac:dyDescent="0.3">
      <c r="A695" t="s">
        <v>1673</v>
      </c>
      <c r="B695">
        <v>2022</v>
      </c>
      <c r="C695" t="s">
        <v>209</v>
      </c>
      <c r="D695" t="s">
        <v>29</v>
      </c>
      <c r="E695" t="s">
        <v>1674</v>
      </c>
      <c r="F695" t="s">
        <v>39</v>
      </c>
      <c r="G695" t="s">
        <v>24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f t="shared" si="30"/>
        <v>6</v>
      </c>
      <c r="U695">
        <f t="shared" si="31"/>
        <v>0</v>
      </c>
      <c r="V695" t="b">
        <f t="shared" si="32"/>
        <v>1</v>
      </c>
    </row>
    <row r="696" spans="1:22" x14ac:dyDescent="0.3">
      <c r="A696" t="s">
        <v>1675</v>
      </c>
      <c r="B696">
        <v>2022</v>
      </c>
      <c r="C696" t="s">
        <v>1676</v>
      </c>
      <c r="D696" t="s">
        <v>29</v>
      </c>
      <c r="E696" t="s">
        <v>1677</v>
      </c>
      <c r="F696" t="s">
        <v>31</v>
      </c>
      <c r="G696" t="s">
        <v>24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f t="shared" si="30"/>
        <v>4</v>
      </c>
      <c r="U696">
        <f t="shared" si="31"/>
        <v>0</v>
      </c>
      <c r="V696" t="b">
        <f t="shared" si="32"/>
        <v>0</v>
      </c>
    </row>
    <row r="697" spans="1:22" x14ac:dyDescent="0.3">
      <c r="A697" t="s">
        <v>1678</v>
      </c>
      <c r="B697">
        <v>2022</v>
      </c>
      <c r="C697" t="s">
        <v>1429</v>
      </c>
      <c r="D697" t="s">
        <v>21</v>
      </c>
      <c r="E697" t="s">
        <v>1679</v>
      </c>
      <c r="F697" t="s">
        <v>23</v>
      </c>
      <c r="G697" t="s">
        <v>24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f t="shared" si="30"/>
        <v>2</v>
      </c>
      <c r="U697">
        <f t="shared" si="31"/>
        <v>0</v>
      </c>
      <c r="V697" t="b">
        <f t="shared" si="32"/>
        <v>0</v>
      </c>
    </row>
    <row r="698" spans="1:22" x14ac:dyDescent="0.3">
      <c r="A698" t="s">
        <v>1680</v>
      </c>
      <c r="B698">
        <v>2022</v>
      </c>
      <c r="C698" t="s">
        <v>267</v>
      </c>
      <c r="D698" t="s">
        <v>29</v>
      </c>
      <c r="E698" t="s">
        <v>1681</v>
      </c>
      <c r="F698" t="s">
        <v>39</v>
      </c>
      <c r="G698" t="s">
        <v>24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f t="shared" si="30"/>
        <v>3</v>
      </c>
      <c r="U698">
        <f t="shared" si="31"/>
        <v>1</v>
      </c>
      <c r="V698" t="b">
        <f t="shared" si="32"/>
        <v>0</v>
      </c>
    </row>
    <row r="699" spans="1:22" x14ac:dyDescent="0.3">
      <c r="A699" t="s">
        <v>1682</v>
      </c>
      <c r="B699">
        <v>2022</v>
      </c>
      <c r="C699" t="s">
        <v>789</v>
      </c>
      <c r="D699" t="s">
        <v>29</v>
      </c>
      <c r="E699" t="s">
        <v>1683</v>
      </c>
      <c r="F699" t="s">
        <v>39</v>
      </c>
      <c r="G699" t="s">
        <v>24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f t="shared" si="30"/>
        <v>3</v>
      </c>
      <c r="U699">
        <f t="shared" si="31"/>
        <v>0</v>
      </c>
      <c r="V699" t="b">
        <f t="shared" si="32"/>
        <v>0</v>
      </c>
    </row>
    <row r="700" spans="1:22" x14ac:dyDescent="0.3">
      <c r="A700" t="s">
        <v>1684</v>
      </c>
      <c r="B700">
        <v>2022</v>
      </c>
      <c r="C700" t="s">
        <v>195</v>
      </c>
      <c r="D700" t="s">
        <v>29</v>
      </c>
      <c r="E700" t="s">
        <v>1685</v>
      </c>
      <c r="F700" t="s">
        <v>39</v>
      </c>
      <c r="G700" t="s">
        <v>24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f t="shared" si="30"/>
        <v>2</v>
      </c>
      <c r="U700">
        <f t="shared" si="31"/>
        <v>0</v>
      </c>
      <c r="V700" t="b">
        <f t="shared" si="32"/>
        <v>0</v>
      </c>
    </row>
    <row r="701" spans="1:22" x14ac:dyDescent="0.3">
      <c r="A701" t="s">
        <v>1686</v>
      </c>
      <c r="B701">
        <v>2022</v>
      </c>
      <c r="C701" t="s">
        <v>203</v>
      </c>
      <c r="D701" t="s">
        <v>29</v>
      </c>
      <c r="E701" t="s">
        <v>1687</v>
      </c>
      <c r="F701" t="s">
        <v>31</v>
      </c>
      <c r="G701" t="s">
        <v>24</v>
      </c>
      <c r="H701">
        <v>1</v>
      </c>
      <c r="I701">
        <v>1</v>
      </c>
      <c r="J701">
        <v>0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f t="shared" si="30"/>
        <v>5</v>
      </c>
      <c r="U701">
        <f t="shared" si="31"/>
        <v>1</v>
      </c>
      <c r="V701" t="b">
        <f t="shared" si="32"/>
        <v>1</v>
      </c>
    </row>
    <row r="702" spans="1:22" x14ac:dyDescent="0.3">
      <c r="A702" t="s">
        <v>1688</v>
      </c>
      <c r="B702">
        <v>2022</v>
      </c>
      <c r="C702" t="s">
        <v>243</v>
      </c>
      <c r="D702" t="s">
        <v>21</v>
      </c>
      <c r="E702" t="s">
        <v>1689</v>
      </c>
      <c r="F702" t="s">
        <v>23</v>
      </c>
      <c r="G702" t="s">
        <v>24</v>
      </c>
      <c r="H702">
        <v>1</v>
      </c>
      <c r="I702">
        <v>1</v>
      </c>
      <c r="J702">
        <v>0</v>
      </c>
      <c r="K702">
        <v>1</v>
      </c>
      <c r="L702">
        <v>1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f t="shared" si="30"/>
        <v>5</v>
      </c>
      <c r="U702">
        <f t="shared" si="31"/>
        <v>1</v>
      </c>
      <c r="V702" t="b">
        <f t="shared" si="32"/>
        <v>1</v>
      </c>
    </row>
    <row r="703" spans="1:22" x14ac:dyDescent="0.3">
      <c r="A703" t="s">
        <v>1690</v>
      </c>
      <c r="B703">
        <v>2022</v>
      </c>
      <c r="C703" t="s">
        <v>704</v>
      </c>
      <c r="D703" t="s">
        <v>29</v>
      </c>
      <c r="E703" t="s">
        <v>1691</v>
      </c>
      <c r="F703" t="s">
        <v>31</v>
      </c>
      <c r="G703" t="s">
        <v>24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f t="shared" si="30"/>
        <v>3</v>
      </c>
      <c r="U703">
        <f t="shared" si="31"/>
        <v>0</v>
      </c>
      <c r="V703" t="b">
        <f t="shared" si="32"/>
        <v>0</v>
      </c>
    </row>
    <row r="704" spans="1:22" x14ac:dyDescent="0.3">
      <c r="A704" t="s">
        <v>1692</v>
      </c>
      <c r="B704">
        <v>2022</v>
      </c>
      <c r="C704" t="s">
        <v>1693</v>
      </c>
      <c r="D704" t="s">
        <v>29</v>
      </c>
      <c r="E704" t="s">
        <v>1694</v>
      </c>
      <c r="F704" t="s">
        <v>31</v>
      </c>
      <c r="G704" t="s">
        <v>24</v>
      </c>
      <c r="H704">
        <v>1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f t="shared" si="30"/>
        <v>3</v>
      </c>
      <c r="U704">
        <f t="shared" si="31"/>
        <v>0</v>
      </c>
      <c r="V704" t="b">
        <f t="shared" si="32"/>
        <v>0</v>
      </c>
    </row>
    <row r="705" spans="1:22" x14ac:dyDescent="0.3">
      <c r="A705" t="s">
        <v>1695</v>
      </c>
      <c r="B705">
        <v>2022</v>
      </c>
      <c r="C705" t="s">
        <v>1696</v>
      </c>
      <c r="D705" t="s">
        <v>29</v>
      </c>
      <c r="E705" t="s">
        <v>1697</v>
      </c>
      <c r="F705" t="s">
        <v>31</v>
      </c>
      <c r="G705" t="s">
        <v>24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f t="shared" si="30"/>
        <v>2</v>
      </c>
      <c r="U705">
        <f t="shared" si="31"/>
        <v>0</v>
      </c>
      <c r="V705" t="b">
        <f t="shared" si="32"/>
        <v>0</v>
      </c>
    </row>
    <row r="706" spans="1:22" x14ac:dyDescent="0.3">
      <c r="A706" t="s">
        <v>1698</v>
      </c>
      <c r="B706">
        <v>2022</v>
      </c>
      <c r="C706" t="s">
        <v>704</v>
      </c>
      <c r="D706" t="s">
        <v>29</v>
      </c>
      <c r="E706" t="s">
        <v>1699</v>
      </c>
      <c r="F706" t="s">
        <v>31</v>
      </c>
      <c r="G706" t="s">
        <v>24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f t="shared" si="30"/>
        <v>2</v>
      </c>
      <c r="U706">
        <f t="shared" si="31"/>
        <v>0</v>
      </c>
      <c r="V706" t="b">
        <f t="shared" si="32"/>
        <v>0</v>
      </c>
    </row>
    <row r="707" spans="1:22" x14ac:dyDescent="0.3">
      <c r="A707" t="s">
        <v>1700</v>
      </c>
      <c r="B707">
        <v>2022</v>
      </c>
      <c r="C707" t="s">
        <v>267</v>
      </c>
      <c r="D707" t="s">
        <v>29</v>
      </c>
      <c r="E707" t="s">
        <v>1701</v>
      </c>
      <c r="F707" t="s">
        <v>39</v>
      </c>
      <c r="G707" t="s">
        <v>24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f t="shared" ref="T707:T770" si="33">SUM(H707:M707)</f>
        <v>2</v>
      </c>
      <c r="U707">
        <f t="shared" ref="U707:U770" si="34">SUM(N707:R707)</f>
        <v>0</v>
      </c>
      <c r="V707" t="b">
        <f t="shared" ref="V707:V770" si="35">T707&gt;4</f>
        <v>0</v>
      </c>
    </row>
    <row r="708" spans="1:22" x14ac:dyDescent="0.3">
      <c r="A708" t="s">
        <v>1702</v>
      </c>
      <c r="B708">
        <v>2022</v>
      </c>
      <c r="C708" t="s">
        <v>1703</v>
      </c>
      <c r="D708" t="s">
        <v>21</v>
      </c>
      <c r="E708" t="s">
        <v>1704</v>
      </c>
      <c r="F708" t="s">
        <v>23</v>
      </c>
      <c r="G708" t="s">
        <v>24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f t="shared" si="33"/>
        <v>2</v>
      </c>
      <c r="U708">
        <f t="shared" si="34"/>
        <v>0</v>
      </c>
      <c r="V708" t="b">
        <f t="shared" si="35"/>
        <v>0</v>
      </c>
    </row>
    <row r="709" spans="1:22" x14ac:dyDescent="0.3">
      <c r="A709" t="s">
        <v>1705</v>
      </c>
      <c r="B709">
        <v>2022</v>
      </c>
      <c r="C709" t="s">
        <v>203</v>
      </c>
      <c r="D709" t="s">
        <v>29</v>
      </c>
      <c r="E709" t="s">
        <v>1706</v>
      </c>
      <c r="F709" t="s">
        <v>31</v>
      </c>
      <c r="G709" t="s">
        <v>24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f t="shared" si="33"/>
        <v>2</v>
      </c>
      <c r="U709">
        <f t="shared" si="34"/>
        <v>0</v>
      </c>
      <c r="V709" t="b">
        <f t="shared" si="35"/>
        <v>0</v>
      </c>
    </row>
    <row r="710" spans="1:22" x14ac:dyDescent="0.3">
      <c r="A710" t="s">
        <v>1707</v>
      </c>
      <c r="B710">
        <v>2022</v>
      </c>
      <c r="C710" t="s">
        <v>1708</v>
      </c>
      <c r="D710" t="s">
        <v>21</v>
      </c>
      <c r="E710" t="s">
        <v>1709</v>
      </c>
      <c r="F710" t="s">
        <v>23</v>
      </c>
      <c r="G710" t="s">
        <v>24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f t="shared" si="33"/>
        <v>2</v>
      </c>
      <c r="U710">
        <f t="shared" si="34"/>
        <v>0</v>
      </c>
      <c r="V710" t="b">
        <f t="shared" si="35"/>
        <v>0</v>
      </c>
    </row>
    <row r="711" spans="1:22" x14ac:dyDescent="0.3">
      <c r="A711" t="s">
        <v>1710</v>
      </c>
      <c r="B711">
        <v>2022</v>
      </c>
      <c r="C711" t="s">
        <v>1711</v>
      </c>
      <c r="D711" t="s">
        <v>21</v>
      </c>
      <c r="E711" t="s">
        <v>1712</v>
      </c>
      <c r="F711" t="s">
        <v>23</v>
      </c>
      <c r="G711" t="s">
        <v>24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f t="shared" si="33"/>
        <v>2</v>
      </c>
      <c r="U711">
        <f t="shared" si="34"/>
        <v>0</v>
      </c>
      <c r="V711" t="b">
        <f t="shared" si="35"/>
        <v>0</v>
      </c>
    </row>
    <row r="712" spans="1:22" x14ac:dyDescent="0.3">
      <c r="A712" t="s">
        <v>1713</v>
      </c>
      <c r="B712">
        <v>2022</v>
      </c>
      <c r="C712" t="s">
        <v>1714</v>
      </c>
      <c r="D712" t="s">
        <v>29</v>
      </c>
      <c r="E712" t="s">
        <v>1715</v>
      </c>
      <c r="F712" t="s">
        <v>39</v>
      </c>
      <c r="G712" t="s">
        <v>24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f t="shared" si="33"/>
        <v>2</v>
      </c>
      <c r="U712">
        <f t="shared" si="34"/>
        <v>0</v>
      </c>
      <c r="V712" t="b">
        <f t="shared" si="35"/>
        <v>0</v>
      </c>
    </row>
    <row r="713" spans="1:22" x14ac:dyDescent="0.3">
      <c r="A713" t="s">
        <v>1716</v>
      </c>
      <c r="B713">
        <v>2022</v>
      </c>
      <c r="C713" t="s">
        <v>710</v>
      </c>
      <c r="D713" t="s">
        <v>29</v>
      </c>
      <c r="E713" t="s">
        <v>1717</v>
      </c>
      <c r="F713" t="s">
        <v>39</v>
      </c>
      <c r="G713" t="s">
        <v>24</v>
      </c>
      <c r="H713">
        <v>1</v>
      </c>
      <c r="I713">
        <v>1</v>
      </c>
      <c r="J713">
        <v>0</v>
      </c>
      <c r="K713">
        <v>1</v>
      </c>
      <c r="L713">
        <v>1</v>
      </c>
      <c r="M713">
        <v>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f t="shared" si="33"/>
        <v>5</v>
      </c>
      <c r="U713">
        <f t="shared" si="34"/>
        <v>1</v>
      </c>
      <c r="V713" t="b">
        <f t="shared" si="35"/>
        <v>1</v>
      </c>
    </row>
    <row r="714" spans="1:22" x14ac:dyDescent="0.3">
      <c r="A714" t="s">
        <v>1718</v>
      </c>
      <c r="B714">
        <v>2022</v>
      </c>
      <c r="C714" t="s">
        <v>1719</v>
      </c>
      <c r="D714" t="s">
        <v>21</v>
      </c>
      <c r="E714" t="s">
        <v>1720</v>
      </c>
      <c r="F714" t="s">
        <v>23</v>
      </c>
      <c r="G714" t="s">
        <v>24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f t="shared" si="33"/>
        <v>2</v>
      </c>
      <c r="U714">
        <f t="shared" si="34"/>
        <v>0</v>
      </c>
      <c r="V714" t="b">
        <f t="shared" si="35"/>
        <v>0</v>
      </c>
    </row>
    <row r="715" spans="1:22" x14ac:dyDescent="0.3">
      <c r="A715" t="s">
        <v>1721</v>
      </c>
      <c r="B715">
        <v>2022</v>
      </c>
      <c r="C715" t="s">
        <v>195</v>
      </c>
      <c r="D715" t="s">
        <v>29</v>
      </c>
      <c r="E715" t="s">
        <v>1722</v>
      </c>
      <c r="F715" t="s">
        <v>39</v>
      </c>
      <c r="G715" t="s">
        <v>24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f t="shared" si="33"/>
        <v>2</v>
      </c>
      <c r="U715">
        <f t="shared" si="34"/>
        <v>0</v>
      </c>
      <c r="V715" t="b">
        <f t="shared" si="35"/>
        <v>0</v>
      </c>
    </row>
    <row r="716" spans="1:22" x14ac:dyDescent="0.3">
      <c r="A716" t="s">
        <v>1723</v>
      </c>
      <c r="B716">
        <v>2021</v>
      </c>
      <c r="C716" t="s">
        <v>53</v>
      </c>
      <c r="D716" t="s">
        <v>29</v>
      </c>
      <c r="E716" t="s">
        <v>1724</v>
      </c>
      <c r="F716" t="s">
        <v>31</v>
      </c>
      <c r="G716" t="s">
        <v>24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f t="shared" si="33"/>
        <v>6</v>
      </c>
      <c r="U716">
        <f t="shared" si="34"/>
        <v>0</v>
      </c>
      <c r="V716" t="b">
        <f t="shared" si="35"/>
        <v>1</v>
      </c>
    </row>
    <row r="717" spans="1:22" x14ac:dyDescent="0.3">
      <c r="A717" t="s">
        <v>1725</v>
      </c>
      <c r="B717">
        <v>2021</v>
      </c>
      <c r="C717" t="s">
        <v>1726</v>
      </c>
      <c r="D717" t="s">
        <v>21</v>
      </c>
      <c r="E717" t="s">
        <v>1727</v>
      </c>
      <c r="F717" t="s">
        <v>23</v>
      </c>
      <c r="G717" t="s">
        <v>24</v>
      </c>
      <c r="H717">
        <v>1</v>
      </c>
      <c r="I717">
        <v>1</v>
      </c>
      <c r="J717">
        <v>0</v>
      </c>
      <c r="K717">
        <v>1</v>
      </c>
      <c r="L717">
        <v>1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f t="shared" si="33"/>
        <v>5</v>
      </c>
      <c r="U717">
        <f t="shared" si="34"/>
        <v>1</v>
      </c>
      <c r="V717" t="b">
        <f t="shared" si="35"/>
        <v>1</v>
      </c>
    </row>
    <row r="718" spans="1:22" x14ac:dyDescent="0.3">
      <c r="A718" t="s">
        <v>1728</v>
      </c>
      <c r="B718">
        <v>2021</v>
      </c>
      <c r="C718" t="s">
        <v>1729</v>
      </c>
      <c r="D718" t="s">
        <v>21</v>
      </c>
      <c r="E718" t="s">
        <v>1730</v>
      </c>
      <c r="F718" t="s">
        <v>35</v>
      </c>
      <c r="G718" t="s">
        <v>24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f t="shared" si="33"/>
        <v>2</v>
      </c>
      <c r="U718">
        <f t="shared" si="34"/>
        <v>0</v>
      </c>
      <c r="V718" t="b">
        <f t="shared" si="35"/>
        <v>0</v>
      </c>
    </row>
    <row r="719" spans="1:22" x14ac:dyDescent="0.3">
      <c r="A719" t="s">
        <v>1731</v>
      </c>
      <c r="B719">
        <v>2021</v>
      </c>
      <c r="C719" t="s">
        <v>1732</v>
      </c>
      <c r="D719" t="s">
        <v>323</v>
      </c>
      <c r="E719" t="s">
        <v>1733</v>
      </c>
      <c r="F719" t="s">
        <v>23</v>
      </c>
      <c r="G719" t="s">
        <v>24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f t="shared" si="33"/>
        <v>6</v>
      </c>
      <c r="U719">
        <f t="shared" si="34"/>
        <v>0</v>
      </c>
      <c r="V719" t="b">
        <f t="shared" si="35"/>
        <v>1</v>
      </c>
    </row>
    <row r="720" spans="1:22" x14ac:dyDescent="0.3">
      <c r="A720" t="s">
        <v>1734</v>
      </c>
      <c r="B720">
        <v>2021</v>
      </c>
      <c r="C720" t="s">
        <v>48</v>
      </c>
      <c r="D720" t="s">
        <v>29</v>
      </c>
      <c r="E720" t="s">
        <v>1735</v>
      </c>
      <c r="F720" t="s">
        <v>31</v>
      </c>
      <c r="G720" t="s">
        <v>24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f t="shared" si="33"/>
        <v>2</v>
      </c>
      <c r="U720">
        <f t="shared" si="34"/>
        <v>0</v>
      </c>
      <c r="V720" t="b">
        <f t="shared" si="35"/>
        <v>0</v>
      </c>
    </row>
    <row r="721" spans="1:22" x14ac:dyDescent="0.3">
      <c r="A721" t="s">
        <v>1736</v>
      </c>
      <c r="B721">
        <v>2021</v>
      </c>
      <c r="C721" t="s">
        <v>1737</v>
      </c>
      <c r="D721" t="s">
        <v>21</v>
      </c>
      <c r="E721" t="s">
        <v>1738</v>
      </c>
      <c r="F721" t="s">
        <v>23</v>
      </c>
      <c r="G721" t="s">
        <v>24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f t="shared" si="33"/>
        <v>3</v>
      </c>
      <c r="U721">
        <f t="shared" si="34"/>
        <v>0</v>
      </c>
      <c r="V721" t="b">
        <f t="shared" si="35"/>
        <v>0</v>
      </c>
    </row>
    <row r="722" spans="1:22" x14ac:dyDescent="0.3">
      <c r="A722" t="s">
        <v>1739</v>
      </c>
      <c r="B722">
        <v>2021</v>
      </c>
      <c r="C722" t="s">
        <v>28</v>
      </c>
      <c r="D722" t="s">
        <v>29</v>
      </c>
      <c r="E722" t="s">
        <v>1740</v>
      </c>
      <c r="F722" t="s">
        <v>31</v>
      </c>
      <c r="G722" t="s">
        <v>24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f t="shared" si="33"/>
        <v>3</v>
      </c>
      <c r="U722">
        <f t="shared" si="34"/>
        <v>0</v>
      </c>
      <c r="V722" t="b">
        <f t="shared" si="35"/>
        <v>0</v>
      </c>
    </row>
    <row r="723" spans="1:22" x14ac:dyDescent="0.3">
      <c r="A723" t="s">
        <v>1741</v>
      </c>
      <c r="B723">
        <v>2021</v>
      </c>
      <c r="C723" t="s">
        <v>1742</v>
      </c>
      <c r="D723" t="s">
        <v>21</v>
      </c>
      <c r="E723" t="s">
        <v>1743</v>
      </c>
      <c r="F723" t="s">
        <v>23</v>
      </c>
      <c r="G723" t="s">
        <v>24</v>
      </c>
      <c r="H723">
        <v>1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f t="shared" si="33"/>
        <v>3</v>
      </c>
      <c r="U723">
        <f t="shared" si="34"/>
        <v>0</v>
      </c>
      <c r="V723" t="b">
        <f t="shared" si="35"/>
        <v>0</v>
      </c>
    </row>
    <row r="724" spans="1:22" x14ac:dyDescent="0.3">
      <c r="A724" t="s">
        <v>1744</v>
      </c>
      <c r="B724">
        <v>2021</v>
      </c>
      <c r="C724" t="s">
        <v>1737</v>
      </c>
      <c r="D724" t="s">
        <v>21</v>
      </c>
      <c r="E724" t="s">
        <v>1745</v>
      </c>
      <c r="F724" t="s">
        <v>23</v>
      </c>
      <c r="G724" t="s">
        <v>24</v>
      </c>
      <c r="H724">
        <v>1</v>
      </c>
      <c r="I724">
        <v>1</v>
      </c>
      <c r="J724">
        <v>0</v>
      </c>
      <c r="K724">
        <v>1</v>
      </c>
      <c r="L724">
        <v>1</v>
      </c>
      <c r="M724">
        <v>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f t="shared" si="33"/>
        <v>5</v>
      </c>
      <c r="U724">
        <f t="shared" si="34"/>
        <v>1</v>
      </c>
      <c r="V724" t="b">
        <f t="shared" si="35"/>
        <v>1</v>
      </c>
    </row>
    <row r="725" spans="1:22" x14ac:dyDescent="0.3">
      <c r="A725" t="s">
        <v>1746</v>
      </c>
      <c r="B725">
        <v>2021</v>
      </c>
      <c r="C725" t="s">
        <v>1747</v>
      </c>
      <c r="D725" t="s">
        <v>21</v>
      </c>
      <c r="E725" t="s">
        <v>1748</v>
      </c>
      <c r="F725" t="s">
        <v>23</v>
      </c>
      <c r="G725" t="s">
        <v>24</v>
      </c>
      <c r="H725">
        <v>1</v>
      </c>
      <c r="I725">
        <v>0</v>
      </c>
      <c r="J725">
        <v>1</v>
      </c>
      <c r="K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f t="shared" si="33"/>
        <v>4</v>
      </c>
      <c r="U725">
        <f t="shared" si="34"/>
        <v>0</v>
      </c>
      <c r="V725" t="b">
        <f t="shared" si="35"/>
        <v>0</v>
      </c>
    </row>
    <row r="726" spans="1:22" x14ac:dyDescent="0.3">
      <c r="A726" t="s">
        <v>1749</v>
      </c>
      <c r="B726">
        <v>2021</v>
      </c>
      <c r="C726" t="s">
        <v>1750</v>
      </c>
      <c r="D726" t="s">
        <v>21</v>
      </c>
      <c r="E726" t="s">
        <v>1751</v>
      </c>
      <c r="F726" t="s">
        <v>23</v>
      </c>
      <c r="G726" t="s">
        <v>24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f t="shared" si="33"/>
        <v>3</v>
      </c>
      <c r="U726">
        <f t="shared" si="34"/>
        <v>0</v>
      </c>
      <c r="V726" t="b">
        <f t="shared" si="35"/>
        <v>0</v>
      </c>
    </row>
    <row r="727" spans="1:22" x14ac:dyDescent="0.3">
      <c r="A727" t="s">
        <v>1752</v>
      </c>
      <c r="B727">
        <v>2021</v>
      </c>
      <c r="C727" t="s">
        <v>1753</v>
      </c>
      <c r="D727" t="s">
        <v>29</v>
      </c>
      <c r="E727" t="s">
        <v>1754</v>
      </c>
      <c r="F727" t="s">
        <v>31</v>
      </c>
      <c r="G727" t="s">
        <v>24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f t="shared" si="33"/>
        <v>3</v>
      </c>
      <c r="U727">
        <f t="shared" si="34"/>
        <v>1</v>
      </c>
      <c r="V727" t="b">
        <f t="shared" si="35"/>
        <v>0</v>
      </c>
    </row>
    <row r="728" spans="1:22" x14ac:dyDescent="0.3">
      <c r="A728" t="s">
        <v>1755</v>
      </c>
      <c r="B728">
        <v>2021</v>
      </c>
      <c r="C728" t="s">
        <v>1756</v>
      </c>
      <c r="D728" t="s">
        <v>21</v>
      </c>
      <c r="E728" t="s">
        <v>1757</v>
      </c>
      <c r="F728" t="s">
        <v>23</v>
      </c>
      <c r="G728" t="s">
        <v>24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f t="shared" si="33"/>
        <v>2</v>
      </c>
      <c r="U728">
        <f t="shared" si="34"/>
        <v>0</v>
      </c>
      <c r="V728" t="b">
        <f t="shared" si="35"/>
        <v>0</v>
      </c>
    </row>
    <row r="729" spans="1:22" x14ac:dyDescent="0.3">
      <c r="A729" t="s">
        <v>1758</v>
      </c>
      <c r="B729">
        <v>2021</v>
      </c>
      <c r="C729" t="s">
        <v>1759</v>
      </c>
      <c r="D729" t="s">
        <v>21</v>
      </c>
      <c r="E729" t="s">
        <v>1760</v>
      </c>
      <c r="F729" t="s">
        <v>23</v>
      </c>
      <c r="G729" t="s">
        <v>24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f t="shared" si="33"/>
        <v>2</v>
      </c>
      <c r="U729">
        <f t="shared" si="34"/>
        <v>0</v>
      </c>
      <c r="V729" t="b">
        <f t="shared" si="35"/>
        <v>0</v>
      </c>
    </row>
    <row r="730" spans="1:22" x14ac:dyDescent="0.3">
      <c r="A730" t="s">
        <v>1761</v>
      </c>
      <c r="B730">
        <v>2021</v>
      </c>
      <c r="C730" t="s">
        <v>1508</v>
      </c>
      <c r="D730" t="s">
        <v>323</v>
      </c>
      <c r="E730" t="s">
        <v>1762</v>
      </c>
      <c r="F730" t="s">
        <v>35</v>
      </c>
      <c r="G730" t="s">
        <v>24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f t="shared" si="33"/>
        <v>3</v>
      </c>
      <c r="U730">
        <f t="shared" si="34"/>
        <v>0</v>
      </c>
      <c r="V730" t="b">
        <f t="shared" si="35"/>
        <v>0</v>
      </c>
    </row>
    <row r="731" spans="1:22" x14ac:dyDescent="0.3">
      <c r="A731" t="s">
        <v>1763</v>
      </c>
      <c r="B731">
        <v>2021</v>
      </c>
      <c r="C731" t="s">
        <v>48</v>
      </c>
      <c r="D731" t="s">
        <v>29</v>
      </c>
      <c r="E731" t="s">
        <v>1764</v>
      </c>
      <c r="F731" t="s">
        <v>31</v>
      </c>
      <c r="G731" t="s">
        <v>24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f t="shared" si="33"/>
        <v>2</v>
      </c>
      <c r="U731">
        <f t="shared" si="34"/>
        <v>0</v>
      </c>
      <c r="V731" t="b">
        <f t="shared" si="35"/>
        <v>0</v>
      </c>
    </row>
    <row r="732" spans="1:22" x14ac:dyDescent="0.3">
      <c r="A732" t="s">
        <v>1765</v>
      </c>
      <c r="B732">
        <v>2021</v>
      </c>
      <c r="C732" t="s">
        <v>1766</v>
      </c>
      <c r="D732" t="s">
        <v>21</v>
      </c>
      <c r="E732" t="s">
        <v>1767</v>
      </c>
      <c r="F732" t="s">
        <v>23</v>
      </c>
      <c r="G732" t="s">
        <v>24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f t="shared" si="33"/>
        <v>2</v>
      </c>
      <c r="U732">
        <f t="shared" si="34"/>
        <v>0</v>
      </c>
      <c r="V732" t="b">
        <f t="shared" si="35"/>
        <v>0</v>
      </c>
    </row>
    <row r="733" spans="1:22" x14ac:dyDescent="0.3">
      <c r="A733" t="s">
        <v>1768</v>
      </c>
      <c r="B733">
        <v>2021</v>
      </c>
      <c r="C733" t="s">
        <v>1742</v>
      </c>
      <c r="D733" t="s">
        <v>21</v>
      </c>
      <c r="E733" t="s">
        <v>1769</v>
      </c>
      <c r="F733" t="s">
        <v>23</v>
      </c>
      <c r="G733" t="s">
        <v>24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f t="shared" si="33"/>
        <v>3</v>
      </c>
      <c r="U733">
        <f t="shared" si="34"/>
        <v>0</v>
      </c>
      <c r="V733" t="b">
        <f t="shared" si="35"/>
        <v>0</v>
      </c>
    </row>
    <row r="734" spans="1:22" x14ac:dyDescent="0.3">
      <c r="A734" t="s">
        <v>1770</v>
      </c>
      <c r="B734">
        <v>2021</v>
      </c>
      <c r="C734" t="s">
        <v>48</v>
      </c>
      <c r="D734" t="s">
        <v>29</v>
      </c>
      <c r="E734" t="s">
        <v>1771</v>
      </c>
      <c r="F734" t="s">
        <v>31</v>
      </c>
      <c r="G734" t="s">
        <v>24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f t="shared" si="33"/>
        <v>2</v>
      </c>
      <c r="U734">
        <f t="shared" si="34"/>
        <v>0</v>
      </c>
      <c r="V734" t="b">
        <f t="shared" si="35"/>
        <v>0</v>
      </c>
    </row>
    <row r="735" spans="1:22" x14ac:dyDescent="0.3">
      <c r="A735" t="s">
        <v>1772</v>
      </c>
      <c r="B735">
        <v>2021</v>
      </c>
      <c r="C735" t="s">
        <v>48</v>
      </c>
      <c r="D735" t="s">
        <v>29</v>
      </c>
      <c r="E735" t="s">
        <v>1773</v>
      </c>
      <c r="F735" t="s">
        <v>31</v>
      </c>
      <c r="G735" t="s">
        <v>24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f t="shared" si="33"/>
        <v>3</v>
      </c>
      <c r="U735">
        <f t="shared" si="34"/>
        <v>0</v>
      </c>
      <c r="V735" t="b">
        <f t="shared" si="35"/>
        <v>0</v>
      </c>
    </row>
    <row r="736" spans="1:22" x14ac:dyDescent="0.3">
      <c r="A736" t="s">
        <v>1774</v>
      </c>
      <c r="B736">
        <v>2021</v>
      </c>
      <c r="C736" t="s">
        <v>1775</v>
      </c>
      <c r="D736" t="s">
        <v>21</v>
      </c>
      <c r="E736" t="s">
        <v>1776</v>
      </c>
      <c r="F736" t="s">
        <v>35</v>
      </c>
      <c r="G736" t="s">
        <v>24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f t="shared" si="33"/>
        <v>2</v>
      </c>
      <c r="U736">
        <f t="shared" si="34"/>
        <v>0</v>
      </c>
      <c r="V736" t="b">
        <f t="shared" si="35"/>
        <v>0</v>
      </c>
    </row>
    <row r="737" spans="1:22" x14ac:dyDescent="0.3">
      <c r="A737" t="s">
        <v>1777</v>
      </c>
      <c r="B737">
        <v>2021</v>
      </c>
      <c r="C737" t="s">
        <v>1513</v>
      </c>
      <c r="D737" t="s">
        <v>21</v>
      </c>
      <c r="E737" t="s">
        <v>1778</v>
      </c>
      <c r="F737" t="s">
        <v>23</v>
      </c>
      <c r="G737" t="s">
        <v>24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f t="shared" si="33"/>
        <v>2</v>
      </c>
      <c r="U737">
        <f t="shared" si="34"/>
        <v>0</v>
      </c>
      <c r="V737" t="b">
        <f t="shared" si="35"/>
        <v>0</v>
      </c>
    </row>
    <row r="738" spans="1:22" x14ac:dyDescent="0.3">
      <c r="A738" t="s">
        <v>1779</v>
      </c>
      <c r="B738">
        <v>2021</v>
      </c>
      <c r="C738" t="s">
        <v>37</v>
      </c>
      <c r="D738" t="s">
        <v>29</v>
      </c>
      <c r="E738" t="s">
        <v>1780</v>
      </c>
      <c r="F738" t="s">
        <v>39</v>
      </c>
      <c r="G738" t="s">
        <v>24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f t="shared" si="33"/>
        <v>3</v>
      </c>
      <c r="U738">
        <f t="shared" si="34"/>
        <v>1</v>
      </c>
      <c r="V738" t="b">
        <f t="shared" si="35"/>
        <v>0</v>
      </c>
    </row>
    <row r="739" spans="1:22" x14ac:dyDescent="0.3">
      <c r="A739" t="s">
        <v>1781</v>
      </c>
      <c r="B739">
        <v>2021</v>
      </c>
      <c r="C739" t="s">
        <v>48</v>
      </c>
      <c r="D739" t="s">
        <v>29</v>
      </c>
      <c r="E739" t="s">
        <v>1782</v>
      </c>
      <c r="F739" t="s">
        <v>31</v>
      </c>
      <c r="G739" t="s">
        <v>24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f t="shared" si="33"/>
        <v>2</v>
      </c>
      <c r="U739">
        <f t="shared" si="34"/>
        <v>0</v>
      </c>
      <c r="V739" t="b">
        <f t="shared" si="35"/>
        <v>0</v>
      </c>
    </row>
    <row r="740" spans="1:22" x14ac:dyDescent="0.3">
      <c r="A740" t="s">
        <v>1783</v>
      </c>
      <c r="B740">
        <v>2021</v>
      </c>
      <c r="C740" t="s">
        <v>48</v>
      </c>
      <c r="D740" t="s">
        <v>29</v>
      </c>
      <c r="E740" t="s">
        <v>1784</v>
      </c>
      <c r="F740" t="s">
        <v>31</v>
      </c>
      <c r="G740" t="s">
        <v>24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f t="shared" si="33"/>
        <v>2</v>
      </c>
      <c r="U740">
        <f t="shared" si="34"/>
        <v>0</v>
      </c>
      <c r="V740" t="b">
        <f t="shared" si="35"/>
        <v>0</v>
      </c>
    </row>
    <row r="741" spans="1:22" x14ac:dyDescent="0.3">
      <c r="A741" t="s">
        <v>1785</v>
      </c>
      <c r="B741">
        <v>2021</v>
      </c>
      <c r="C741" t="s">
        <v>1737</v>
      </c>
      <c r="D741" t="s">
        <v>21</v>
      </c>
      <c r="E741" t="s">
        <v>1786</v>
      </c>
      <c r="F741" t="s">
        <v>23</v>
      </c>
      <c r="G741" t="s">
        <v>24</v>
      </c>
      <c r="H741">
        <v>1</v>
      </c>
      <c r="I741">
        <v>1</v>
      </c>
      <c r="J741">
        <v>0</v>
      </c>
      <c r="K741">
        <v>1</v>
      </c>
      <c r="L741">
        <v>1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f t="shared" si="33"/>
        <v>5</v>
      </c>
      <c r="U741">
        <f t="shared" si="34"/>
        <v>1</v>
      </c>
      <c r="V741" t="b">
        <f t="shared" si="35"/>
        <v>1</v>
      </c>
    </row>
    <row r="742" spans="1:22" x14ac:dyDescent="0.3">
      <c r="A742" t="s">
        <v>1787</v>
      </c>
      <c r="B742">
        <v>2021</v>
      </c>
      <c r="C742" t="s">
        <v>1742</v>
      </c>
      <c r="D742" t="s">
        <v>21</v>
      </c>
      <c r="E742" t="s">
        <v>1788</v>
      </c>
      <c r="F742" t="s">
        <v>23</v>
      </c>
      <c r="G742" t="s">
        <v>24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f t="shared" si="33"/>
        <v>3</v>
      </c>
      <c r="U742">
        <f t="shared" si="34"/>
        <v>1</v>
      </c>
      <c r="V742" t="b">
        <f t="shared" si="35"/>
        <v>0</v>
      </c>
    </row>
    <row r="743" spans="1:22" x14ac:dyDescent="0.3">
      <c r="A743" t="s">
        <v>1789</v>
      </c>
      <c r="B743">
        <v>2021</v>
      </c>
      <c r="C743" t="s">
        <v>1737</v>
      </c>
      <c r="D743" t="s">
        <v>21</v>
      </c>
      <c r="E743" t="s">
        <v>1790</v>
      </c>
      <c r="F743" t="s">
        <v>23</v>
      </c>
      <c r="G743" t="s">
        <v>24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f t="shared" si="33"/>
        <v>3</v>
      </c>
      <c r="U743">
        <f t="shared" si="34"/>
        <v>0</v>
      </c>
      <c r="V743" t="b">
        <f t="shared" si="35"/>
        <v>0</v>
      </c>
    </row>
    <row r="744" spans="1:22" x14ac:dyDescent="0.3">
      <c r="A744" t="s">
        <v>1791</v>
      </c>
      <c r="B744">
        <v>2021</v>
      </c>
      <c r="C744" t="s">
        <v>1742</v>
      </c>
      <c r="D744" t="s">
        <v>21</v>
      </c>
      <c r="E744" t="s">
        <v>1792</v>
      </c>
      <c r="F744" t="s">
        <v>23</v>
      </c>
      <c r="G744" t="s">
        <v>24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f t="shared" si="33"/>
        <v>3</v>
      </c>
      <c r="U744">
        <f t="shared" si="34"/>
        <v>0</v>
      </c>
      <c r="V744" t="b">
        <f t="shared" si="35"/>
        <v>0</v>
      </c>
    </row>
    <row r="745" spans="1:22" x14ac:dyDescent="0.3">
      <c r="A745" t="s">
        <v>1793</v>
      </c>
      <c r="B745">
        <v>2021</v>
      </c>
      <c r="C745" t="s">
        <v>1742</v>
      </c>
      <c r="D745" t="s">
        <v>21</v>
      </c>
      <c r="E745" t="s">
        <v>1794</v>
      </c>
      <c r="F745" t="s">
        <v>23</v>
      </c>
      <c r="G745" t="s">
        <v>24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f t="shared" si="33"/>
        <v>3</v>
      </c>
      <c r="U745">
        <f t="shared" si="34"/>
        <v>0</v>
      </c>
      <c r="V745" t="b">
        <f t="shared" si="35"/>
        <v>0</v>
      </c>
    </row>
    <row r="746" spans="1:22" x14ac:dyDescent="0.3">
      <c r="A746" t="s">
        <v>1795</v>
      </c>
      <c r="B746">
        <v>2021</v>
      </c>
      <c r="C746" t="s">
        <v>37</v>
      </c>
      <c r="D746" t="s">
        <v>29</v>
      </c>
      <c r="E746" t="s">
        <v>1796</v>
      </c>
      <c r="F746" t="s">
        <v>39</v>
      </c>
      <c r="G746" t="s">
        <v>24</v>
      </c>
      <c r="H746">
        <v>1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f t="shared" si="33"/>
        <v>3</v>
      </c>
      <c r="U746">
        <f t="shared" si="34"/>
        <v>0</v>
      </c>
      <c r="V746" t="b">
        <f t="shared" si="35"/>
        <v>0</v>
      </c>
    </row>
    <row r="747" spans="1:22" x14ac:dyDescent="0.3">
      <c r="A747" t="s">
        <v>1797</v>
      </c>
      <c r="B747">
        <v>2021</v>
      </c>
      <c r="C747" t="s">
        <v>1798</v>
      </c>
      <c r="D747" t="s">
        <v>29</v>
      </c>
      <c r="E747" t="s">
        <v>1799</v>
      </c>
      <c r="F747" t="s">
        <v>39</v>
      </c>
      <c r="G747" t="s">
        <v>24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f t="shared" si="33"/>
        <v>2</v>
      </c>
      <c r="U747">
        <f t="shared" si="34"/>
        <v>0</v>
      </c>
      <c r="V747" t="b">
        <f t="shared" si="35"/>
        <v>0</v>
      </c>
    </row>
    <row r="748" spans="1:22" x14ac:dyDescent="0.3">
      <c r="A748" t="s">
        <v>1800</v>
      </c>
      <c r="B748">
        <v>2021</v>
      </c>
      <c r="C748" t="s">
        <v>1801</v>
      </c>
      <c r="D748" t="s">
        <v>21</v>
      </c>
      <c r="E748" t="s">
        <v>1802</v>
      </c>
      <c r="F748" t="s">
        <v>23</v>
      </c>
      <c r="G748" t="s">
        <v>24</v>
      </c>
      <c r="H748">
        <v>1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f t="shared" si="33"/>
        <v>3</v>
      </c>
      <c r="U748">
        <f t="shared" si="34"/>
        <v>0</v>
      </c>
      <c r="V748" t="b">
        <f t="shared" si="35"/>
        <v>0</v>
      </c>
    </row>
    <row r="749" spans="1:22" x14ac:dyDescent="0.3">
      <c r="A749" t="s">
        <v>1803</v>
      </c>
      <c r="B749">
        <v>2021</v>
      </c>
      <c r="C749" t="s">
        <v>1513</v>
      </c>
      <c r="D749" t="s">
        <v>21</v>
      </c>
      <c r="E749" t="s">
        <v>1804</v>
      </c>
      <c r="F749" t="s">
        <v>23</v>
      </c>
      <c r="G749" t="s">
        <v>24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f t="shared" si="33"/>
        <v>2</v>
      </c>
      <c r="U749">
        <f t="shared" si="34"/>
        <v>0</v>
      </c>
      <c r="V749" t="b">
        <f t="shared" si="35"/>
        <v>0</v>
      </c>
    </row>
    <row r="750" spans="1:22" x14ac:dyDescent="0.3">
      <c r="A750" t="s">
        <v>1805</v>
      </c>
      <c r="B750">
        <v>2021</v>
      </c>
      <c r="C750" t="s">
        <v>1775</v>
      </c>
      <c r="D750" t="s">
        <v>21</v>
      </c>
      <c r="E750" t="s">
        <v>1806</v>
      </c>
      <c r="F750" t="s">
        <v>35</v>
      </c>
      <c r="G750" t="s">
        <v>24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f t="shared" si="33"/>
        <v>3</v>
      </c>
      <c r="U750">
        <f t="shared" si="34"/>
        <v>1</v>
      </c>
      <c r="V750" t="b">
        <f t="shared" si="35"/>
        <v>0</v>
      </c>
    </row>
    <row r="751" spans="1:22" x14ac:dyDescent="0.3">
      <c r="A751" t="s">
        <v>1807</v>
      </c>
      <c r="B751">
        <v>2021</v>
      </c>
      <c r="C751" t="s">
        <v>53</v>
      </c>
      <c r="D751" t="s">
        <v>29</v>
      </c>
      <c r="E751" t="s">
        <v>1808</v>
      </c>
      <c r="F751" t="s">
        <v>31</v>
      </c>
      <c r="G751" t="s">
        <v>24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f t="shared" si="33"/>
        <v>2</v>
      </c>
      <c r="U751">
        <f t="shared" si="34"/>
        <v>0</v>
      </c>
      <c r="V751" t="b">
        <f t="shared" si="35"/>
        <v>0</v>
      </c>
    </row>
    <row r="752" spans="1:22" x14ac:dyDescent="0.3">
      <c r="A752" t="s">
        <v>1809</v>
      </c>
      <c r="B752">
        <v>2021</v>
      </c>
      <c r="C752" t="s">
        <v>1775</v>
      </c>
      <c r="D752" t="s">
        <v>21</v>
      </c>
      <c r="E752" t="s">
        <v>1810</v>
      </c>
      <c r="F752" t="s">
        <v>35</v>
      </c>
      <c r="G752" t="s">
        <v>24</v>
      </c>
      <c r="H752">
        <v>0</v>
      </c>
      <c r="I752">
        <v>1</v>
      </c>
      <c r="J752">
        <v>0</v>
      </c>
      <c r="K752">
        <v>0</v>
      </c>
      <c r="L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f t="shared" si="33"/>
        <v>3</v>
      </c>
      <c r="U752">
        <f t="shared" si="34"/>
        <v>1</v>
      </c>
      <c r="V752" t="b">
        <f t="shared" si="35"/>
        <v>0</v>
      </c>
    </row>
    <row r="753" spans="1:22" x14ac:dyDescent="0.3">
      <c r="A753" t="s">
        <v>1811</v>
      </c>
      <c r="B753">
        <v>2021</v>
      </c>
      <c r="C753" t="s">
        <v>37</v>
      </c>
      <c r="D753" t="s">
        <v>29</v>
      </c>
      <c r="E753" t="s">
        <v>1812</v>
      </c>
      <c r="F753" t="s">
        <v>39</v>
      </c>
      <c r="G753" t="s">
        <v>24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f t="shared" si="33"/>
        <v>2</v>
      </c>
      <c r="U753">
        <f t="shared" si="34"/>
        <v>0</v>
      </c>
      <c r="V753" t="b">
        <f t="shared" si="35"/>
        <v>0</v>
      </c>
    </row>
    <row r="754" spans="1:22" x14ac:dyDescent="0.3">
      <c r="A754" t="s">
        <v>1813</v>
      </c>
      <c r="B754">
        <v>2021</v>
      </c>
      <c r="C754" t="s">
        <v>1729</v>
      </c>
      <c r="D754" t="s">
        <v>21</v>
      </c>
      <c r="E754" t="s">
        <v>1814</v>
      </c>
      <c r="F754" t="s">
        <v>35</v>
      </c>
      <c r="G754" t="s">
        <v>24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f t="shared" si="33"/>
        <v>2</v>
      </c>
      <c r="U754">
        <f t="shared" si="34"/>
        <v>0</v>
      </c>
      <c r="V754" t="b">
        <f t="shared" si="35"/>
        <v>0</v>
      </c>
    </row>
    <row r="755" spans="1:22" x14ac:dyDescent="0.3">
      <c r="A755" t="s">
        <v>1815</v>
      </c>
      <c r="B755">
        <v>2021</v>
      </c>
      <c r="C755" t="s">
        <v>1816</v>
      </c>
      <c r="D755" t="s">
        <v>130</v>
      </c>
      <c r="E755" t="s">
        <v>1817</v>
      </c>
      <c r="F755" t="s">
        <v>31</v>
      </c>
      <c r="G755" t="s">
        <v>24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f t="shared" si="33"/>
        <v>5</v>
      </c>
      <c r="U755">
        <f t="shared" si="34"/>
        <v>0</v>
      </c>
      <c r="V755" t="b">
        <f t="shared" si="35"/>
        <v>1</v>
      </c>
    </row>
    <row r="756" spans="1:22" x14ac:dyDescent="0.3">
      <c r="A756" t="s">
        <v>1818</v>
      </c>
      <c r="B756">
        <v>2021</v>
      </c>
      <c r="C756" t="s">
        <v>1819</v>
      </c>
      <c r="D756" t="s">
        <v>21</v>
      </c>
      <c r="E756" t="s">
        <v>1820</v>
      </c>
      <c r="F756" t="s">
        <v>23</v>
      </c>
      <c r="G756" t="s">
        <v>24</v>
      </c>
      <c r="H756">
        <v>1</v>
      </c>
      <c r="I756">
        <v>0</v>
      </c>
      <c r="J756">
        <v>1</v>
      </c>
      <c r="K756">
        <v>0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f t="shared" si="33"/>
        <v>4</v>
      </c>
      <c r="U756">
        <f t="shared" si="34"/>
        <v>0</v>
      </c>
      <c r="V756" t="b">
        <f t="shared" si="35"/>
        <v>0</v>
      </c>
    </row>
    <row r="757" spans="1:22" x14ac:dyDescent="0.3">
      <c r="A757" t="s">
        <v>1821</v>
      </c>
      <c r="B757">
        <v>2021</v>
      </c>
      <c r="C757" t="s">
        <v>133</v>
      </c>
      <c r="D757" t="s">
        <v>130</v>
      </c>
      <c r="E757" t="s">
        <v>1822</v>
      </c>
      <c r="F757" t="s">
        <v>39</v>
      </c>
      <c r="G757" t="s">
        <v>24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f t="shared" si="33"/>
        <v>3</v>
      </c>
      <c r="U757">
        <f t="shared" si="34"/>
        <v>0</v>
      </c>
      <c r="V757" t="b">
        <f t="shared" si="35"/>
        <v>0</v>
      </c>
    </row>
    <row r="758" spans="1:22" x14ac:dyDescent="0.3">
      <c r="A758" t="s">
        <v>1823</v>
      </c>
      <c r="B758">
        <v>2021</v>
      </c>
      <c r="C758" t="s">
        <v>1824</v>
      </c>
      <c r="D758" t="s">
        <v>21</v>
      </c>
      <c r="E758" t="s">
        <v>1825</v>
      </c>
      <c r="F758" t="s">
        <v>23</v>
      </c>
      <c r="G758" t="s">
        <v>24</v>
      </c>
      <c r="H758">
        <v>0</v>
      </c>
      <c r="I758">
        <v>1</v>
      </c>
      <c r="J758">
        <v>0</v>
      </c>
      <c r="K758">
        <v>0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f t="shared" si="33"/>
        <v>3</v>
      </c>
      <c r="U758">
        <f t="shared" si="34"/>
        <v>1</v>
      </c>
      <c r="V758" t="b">
        <f t="shared" si="35"/>
        <v>0</v>
      </c>
    </row>
    <row r="759" spans="1:22" x14ac:dyDescent="0.3">
      <c r="A759" t="s">
        <v>1826</v>
      </c>
      <c r="B759">
        <v>2021</v>
      </c>
      <c r="C759" t="s">
        <v>133</v>
      </c>
      <c r="D759" t="s">
        <v>29</v>
      </c>
      <c r="E759" t="s">
        <v>1827</v>
      </c>
      <c r="F759" t="s">
        <v>39</v>
      </c>
      <c r="G759" t="s">
        <v>24</v>
      </c>
      <c r="H759">
        <v>1</v>
      </c>
      <c r="I759">
        <v>1</v>
      </c>
      <c r="J759">
        <v>0</v>
      </c>
      <c r="K759">
        <v>1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f t="shared" si="33"/>
        <v>5</v>
      </c>
      <c r="U759">
        <f t="shared" si="34"/>
        <v>0</v>
      </c>
      <c r="V759" t="b">
        <f t="shared" si="35"/>
        <v>1</v>
      </c>
    </row>
    <row r="760" spans="1:22" x14ac:dyDescent="0.3">
      <c r="A760" t="s">
        <v>1828</v>
      </c>
      <c r="B760">
        <v>2021</v>
      </c>
      <c r="C760" t="s">
        <v>1829</v>
      </c>
      <c r="D760" t="s">
        <v>29</v>
      </c>
      <c r="E760" t="s">
        <v>1830</v>
      </c>
      <c r="F760" t="s">
        <v>31</v>
      </c>
      <c r="G760" t="s">
        <v>24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f t="shared" si="33"/>
        <v>3</v>
      </c>
      <c r="U760">
        <f t="shared" si="34"/>
        <v>0</v>
      </c>
      <c r="V760" t="b">
        <f t="shared" si="35"/>
        <v>0</v>
      </c>
    </row>
    <row r="761" spans="1:22" x14ac:dyDescent="0.3">
      <c r="A761" t="s">
        <v>1831</v>
      </c>
      <c r="B761">
        <v>2021</v>
      </c>
      <c r="C761" t="s">
        <v>1832</v>
      </c>
      <c r="D761" t="s">
        <v>29</v>
      </c>
      <c r="E761" t="s">
        <v>1833</v>
      </c>
      <c r="F761" t="s">
        <v>39</v>
      </c>
      <c r="G761" t="s">
        <v>24</v>
      </c>
      <c r="H761">
        <v>1</v>
      </c>
      <c r="I761">
        <v>0</v>
      </c>
      <c r="J761">
        <v>1</v>
      </c>
      <c r="K761">
        <v>0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f t="shared" si="33"/>
        <v>4</v>
      </c>
      <c r="U761">
        <f t="shared" si="34"/>
        <v>0</v>
      </c>
      <c r="V761" t="b">
        <f t="shared" si="35"/>
        <v>0</v>
      </c>
    </row>
    <row r="762" spans="1:22" x14ac:dyDescent="0.3">
      <c r="A762" t="s">
        <v>1834</v>
      </c>
      <c r="B762">
        <v>2021</v>
      </c>
      <c r="C762" t="s">
        <v>133</v>
      </c>
      <c r="D762" t="s">
        <v>29</v>
      </c>
      <c r="E762" t="s">
        <v>1835</v>
      </c>
      <c r="F762" t="s">
        <v>39</v>
      </c>
      <c r="G762" t="s">
        <v>24</v>
      </c>
      <c r="H762">
        <v>1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f t="shared" si="33"/>
        <v>3</v>
      </c>
      <c r="U762">
        <f t="shared" si="34"/>
        <v>0</v>
      </c>
      <c r="V762" t="b">
        <f t="shared" si="35"/>
        <v>0</v>
      </c>
    </row>
    <row r="763" spans="1:22" x14ac:dyDescent="0.3">
      <c r="A763" t="s">
        <v>1836</v>
      </c>
      <c r="B763">
        <v>2021</v>
      </c>
      <c r="C763" t="s">
        <v>133</v>
      </c>
      <c r="D763" t="s">
        <v>29</v>
      </c>
      <c r="E763" t="s">
        <v>1837</v>
      </c>
      <c r="F763" t="s">
        <v>39</v>
      </c>
      <c r="G763" t="s">
        <v>24</v>
      </c>
      <c r="H763">
        <v>1</v>
      </c>
      <c r="I763">
        <v>1</v>
      </c>
      <c r="J763">
        <v>0</v>
      </c>
      <c r="K763">
        <v>1</v>
      </c>
      <c r="L763">
        <v>1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f t="shared" si="33"/>
        <v>5</v>
      </c>
      <c r="U763">
        <f t="shared" si="34"/>
        <v>1</v>
      </c>
      <c r="V763" t="b">
        <f t="shared" si="35"/>
        <v>1</v>
      </c>
    </row>
    <row r="764" spans="1:22" x14ac:dyDescent="0.3">
      <c r="A764" t="s">
        <v>1838</v>
      </c>
      <c r="B764">
        <v>2021</v>
      </c>
      <c r="C764" t="s">
        <v>1839</v>
      </c>
      <c r="D764" t="s">
        <v>130</v>
      </c>
      <c r="E764" t="s">
        <v>1840</v>
      </c>
      <c r="F764" t="s">
        <v>39</v>
      </c>
      <c r="G764" t="s">
        <v>24</v>
      </c>
      <c r="H764">
        <v>1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f t="shared" si="33"/>
        <v>3</v>
      </c>
      <c r="U764">
        <f t="shared" si="34"/>
        <v>0</v>
      </c>
      <c r="V764" t="b">
        <f t="shared" si="35"/>
        <v>0</v>
      </c>
    </row>
    <row r="765" spans="1:22" x14ac:dyDescent="0.3">
      <c r="A765" t="s">
        <v>1841</v>
      </c>
      <c r="B765">
        <v>2021</v>
      </c>
      <c r="C765" t="s">
        <v>1842</v>
      </c>
      <c r="D765" t="s">
        <v>21</v>
      </c>
      <c r="E765" t="s">
        <v>1843</v>
      </c>
      <c r="F765" t="s">
        <v>23</v>
      </c>
      <c r="G765" t="s">
        <v>24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f t="shared" si="33"/>
        <v>3</v>
      </c>
      <c r="U765">
        <f t="shared" si="34"/>
        <v>1</v>
      </c>
      <c r="V765" t="b">
        <f t="shared" si="35"/>
        <v>0</v>
      </c>
    </row>
    <row r="766" spans="1:22" x14ac:dyDescent="0.3">
      <c r="A766" t="s">
        <v>1844</v>
      </c>
      <c r="B766">
        <v>2021</v>
      </c>
      <c r="C766" t="s">
        <v>133</v>
      </c>
      <c r="D766" t="s">
        <v>29</v>
      </c>
      <c r="E766" t="s">
        <v>1845</v>
      </c>
      <c r="F766" t="s">
        <v>39</v>
      </c>
      <c r="G766" t="s">
        <v>24</v>
      </c>
      <c r="H766">
        <v>1</v>
      </c>
      <c r="I766">
        <v>1</v>
      </c>
      <c r="J766">
        <v>0</v>
      </c>
      <c r="K766">
        <v>1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f t="shared" si="33"/>
        <v>5</v>
      </c>
      <c r="U766">
        <f t="shared" si="34"/>
        <v>0</v>
      </c>
      <c r="V766" t="b">
        <f t="shared" si="35"/>
        <v>1</v>
      </c>
    </row>
    <row r="767" spans="1:22" x14ac:dyDescent="0.3">
      <c r="A767" t="s">
        <v>1846</v>
      </c>
      <c r="B767">
        <v>2021</v>
      </c>
      <c r="C767" t="s">
        <v>133</v>
      </c>
      <c r="D767" t="s">
        <v>29</v>
      </c>
      <c r="E767" t="s">
        <v>1847</v>
      </c>
      <c r="F767" t="s">
        <v>39</v>
      </c>
      <c r="G767" t="s">
        <v>24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f t="shared" si="33"/>
        <v>3</v>
      </c>
      <c r="U767">
        <f t="shared" si="34"/>
        <v>0</v>
      </c>
      <c r="V767" t="b">
        <f t="shared" si="35"/>
        <v>0</v>
      </c>
    </row>
    <row r="768" spans="1:22" x14ac:dyDescent="0.3">
      <c r="A768" t="s">
        <v>1848</v>
      </c>
      <c r="B768">
        <v>2021</v>
      </c>
      <c r="C768" t="s">
        <v>133</v>
      </c>
      <c r="D768" t="s">
        <v>29</v>
      </c>
      <c r="E768" t="s">
        <v>1849</v>
      </c>
      <c r="F768" t="s">
        <v>39</v>
      </c>
      <c r="G768" t="s">
        <v>24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f t="shared" si="33"/>
        <v>3</v>
      </c>
      <c r="U768">
        <f t="shared" si="34"/>
        <v>0</v>
      </c>
      <c r="V768" t="b">
        <f t="shared" si="35"/>
        <v>0</v>
      </c>
    </row>
    <row r="769" spans="1:22" x14ac:dyDescent="0.3">
      <c r="A769" t="s">
        <v>1850</v>
      </c>
      <c r="B769">
        <v>2021</v>
      </c>
      <c r="C769" t="s">
        <v>133</v>
      </c>
      <c r="D769" t="s">
        <v>29</v>
      </c>
      <c r="E769" t="s">
        <v>1851</v>
      </c>
      <c r="F769" t="s">
        <v>39</v>
      </c>
      <c r="G769" t="s">
        <v>24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f t="shared" si="33"/>
        <v>3</v>
      </c>
      <c r="U769">
        <f t="shared" si="34"/>
        <v>0</v>
      </c>
      <c r="V769" t="b">
        <f t="shared" si="35"/>
        <v>0</v>
      </c>
    </row>
    <row r="770" spans="1:22" x14ac:dyDescent="0.3">
      <c r="A770" t="s">
        <v>1852</v>
      </c>
      <c r="B770">
        <v>2021</v>
      </c>
      <c r="C770" t="s">
        <v>133</v>
      </c>
      <c r="D770" t="s">
        <v>29</v>
      </c>
      <c r="E770" t="s">
        <v>1853</v>
      </c>
      <c r="F770" t="s">
        <v>39</v>
      </c>
      <c r="G770" t="s">
        <v>24</v>
      </c>
      <c r="H770">
        <v>1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f t="shared" si="33"/>
        <v>3</v>
      </c>
      <c r="U770">
        <f t="shared" si="34"/>
        <v>0</v>
      </c>
      <c r="V770" t="b">
        <f t="shared" si="35"/>
        <v>0</v>
      </c>
    </row>
    <row r="771" spans="1:22" x14ac:dyDescent="0.3">
      <c r="A771" t="s">
        <v>1854</v>
      </c>
      <c r="B771">
        <v>2021</v>
      </c>
      <c r="C771" t="s">
        <v>133</v>
      </c>
      <c r="D771" t="s">
        <v>29</v>
      </c>
      <c r="E771" t="s">
        <v>1855</v>
      </c>
      <c r="F771" t="s">
        <v>39</v>
      </c>
      <c r="G771" t="s">
        <v>24</v>
      </c>
      <c r="H771">
        <v>1</v>
      </c>
      <c r="I771">
        <v>1</v>
      </c>
      <c r="J771">
        <v>0</v>
      </c>
      <c r="K771">
        <v>1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f t="shared" ref="T771:T834" si="36">SUM(H771:M771)</f>
        <v>5</v>
      </c>
      <c r="U771">
        <f t="shared" ref="U771:U834" si="37">SUM(N771:R771)</f>
        <v>0</v>
      </c>
      <c r="V771" t="b">
        <f t="shared" ref="V771:V834" si="38">T771&gt;4</f>
        <v>1</v>
      </c>
    </row>
    <row r="772" spans="1:22" x14ac:dyDescent="0.3">
      <c r="A772" t="s">
        <v>1856</v>
      </c>
      <c r="B772">
        <v>2021</v>
      </c>
      <c r="C772" t="s">
        <v>133</v>
      </c>
      <c r="D772" t="s">
        <v>29</v>
      </c>
      <c r="E772" t="s">
        <v>1857</v>
      </c>
      <c r="F772" t="s">
        <v>39</v>
      </c>
      <c r="G772" t="s">
        <v>24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f t="shared" si="36"/>
        <v>3</v>
      </c>
      <c r="U772">
        <f t="shared" si="37"/>
        <v>0</v>
      </c>
      <c r="V772" t="b">
        <f t="shared" si="38"/>
        <v>0</v>
      </c>
    </row>
    <row r="773" spans="1:22" x14ac:dyDescent="0.3">
      <c r="A773" t="s">
        <v>1858</v>
      </c>
      <c r="B773">
        <v>2021</v>
      </c>
      <c r="C773" t="s">
        <v>133</v>
      </c>
      <c r="D773" t="s">
        <v>29</v>
      </c>
      <c r="E773" t="s">
        <v>1859</v>
      </c>
      <c r="F773" t="s">
        <v>39</v>
      </c>
      <c r="G773" t="s">
        <v>24</v>
      </c>
      <c r="H773">
        <v>1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f t="shared" si="36"/>
        <v>3</v>
      </c>
      <c r="U773">
        <f t="shared" si="37"/>
        <v>0</v>
      </c>
      <c r="V773" t="b">
        <f t="shared" si="38"/>
        <v>0</v>
      </c>
    </row>
    <row r="774" spans="1:22" x14ac:dyDescent="0.3">
      <c r="A774" t="s">
        <v>1860</v>
      </c>
      <c r="B774">
        <v>2021</v>
      </c>
      <c r="C774" t="s">
        <v>1861</v>
      </c>
      <c r="D774" t="s">
        <v>130</v>
      </c>
      <c r="E774" t="s">
        <v>1862</v>
      </c>
      <c r="F774" t="s">
        <v>39</v>
      </c>
      <c r="G774" t="s">
        <v>24</v>
      </c>
      <c r="H774">
        <v>1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f t="shared" si="36"/>
        <v>4</v>
      </c>
      <c r="U774">
        <f t="shared" si="37"/>
        <v>0</v>
      </c>
      <c r="V774" t="b">
        <f t="shared" si="38"/>
        <v>0</v>
      </c>
    </row>
    <row r="775" spans="1:22" x14ac:dyDescent="0.3">
      <c r="A775" t="s">
        <v>1863</v>
      </c>
      <c r="B775">
        <v>2021</v>
      </c>
      <c r="C775" t="s">
        <v>1864</v>
      </c>
      <c r="D775" t="s">
        <v>29</v>
      </c>
      <c r="E775" t="s">
        <v>1865</v>
      </c>
      <c r="F775" t="s">
        <v>31</v>
      </c>
      <c r="G775" t="s">
        <v>24</v>
      </c>
      <c r="H775">
        <v>1</v>
      </c>
      <c r="I775">
        <v>1</v>
      </c>
      <c r="J775">
        <v>0</v>
      </c>
      <c r="K775">
        <v>1</v>
      </c>
      <c r="L775">
        <v>1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f t="shared" si="36"/>
        <v>5</v>
      </c>
      <c r="U775">
        <f t="shared" si="37"/>
        <v>0</v>
      </c>
      <c r="V775" t="b">
        <f t="shared" si="38"/>
        <v>1</v>
      </c>
    </row>
    <row r="776" spans="1:22" x14ac:dyDescent="0.3">
      <c r="A776" t="s">
        <v>1866</v>
      </c>
      <c r="B776">
        <v>2021</v>
      </c>
      <c r="C776" t="s">
        <v>799</v>
      </c>
      <c r="D776" t="s">
        <v>29</v>
      </c>
      <c r="E776" t="s">
        <v>1867</v>
      </c>
      <c r="F776" t="s">
        <v>31</v>
      </c>
      <c r="G776" t="s">
        <v>24</v>
      </c>
      <c r="H776">
        <v>1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f t="shared" si="36"/>
        <v>3</v>
      </c>
      <c r="U776">
        <f t="shared" si="37"/>
        <v>0</v>
      </c>
      <c r="V776" t="b">
        <f t="shared" si="38"/>
        <v>0</v>
      </c>
    </row>
    <row r="777" spans="1:22" x14ac:dyDescent="0.3">
      <c r="A777" t="s">
        <v>1868</v>
      </c>
      <c r="B777">
        <v>2021</v>
      </c>
      <c r="C777" t="s">
        <v>1869</v>
      </c>
      <c r="D777" t="s">
        <v>21</v>
      </c>
      <c r="E777" t="s">
        <v>1870</v>
      </c>
      <c r="F777" t="s">
        <v>23</v>
      </c>
      <c r="G777" t="s">
        <v>24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f t="shared" si="36"/>
        <v>3</v>
      </c>
      <c r="U777">
        <f t="shared" si="37"/>
        <v>1</v>
      </c>
      <c r="V777" t="b">
        <f t="shared" si="38"/>
        <v>0</v>
      </c>
    </row>
    <row r="778" spans="1:22" x14ac:dyDescent="0.3">
      <c r="A778" t="s">
        <v>1871</v>
      </c>
      <c r="B778">
        <v>2021</v>
      </c>
      <c r="C778" t="s">
        <v>1693</v>
      </c>
      <c r="D778" t="s">
        <v>29</v>
      </c>
      <c r="E778" t="s">
        <v>1872</v>
      </c>
      <c r="F778" t="s">
        <v>31</v>
      </c>
      <c r="G778" t="s">
        <v>24</v>
      </c>
      <c r="H778">
        <v>1</v>
      </c>
      <c r="I778">
        <v>1</v>
      </c>
      <c r="J778">
        <v>0</v>
      </c>
      <c r="K778">
        <v>1</v>
      </c>
      <c r="L778">
        <v>1</v>
      </c>
      <c r="M778">
        <v>1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f t="shared" si="36"/>
        <v>5</v>
      </c>
      <c r="U778">
        <f t="shared" si="37"/>
        <v>1</v>
      </c>
      <c r="V778" t="b">
        <f t="shared" si="38"/>
        <v>1</v>
      </c>
    </row>
    <row r="779" spans="1:22" x14ac:dyDescent="0.3">
      <c r="A779" t="s">
        <v>1873</v>
      </c>
      <c r="B779">
        <v>2021</v>
      </c>
      <c r="C779" t="s">
        <v>209</v>
      </c>
      <c r="D779" t="s">
        <v>29</v>
      </c>
      <c r="E779" t="s">
        <v>1874</v>
      </c>
      <c r="F779" t="s">
        <v>39</v>
      </c>
      <c r="G779" t="s">
        <v>24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f t="shared" si="36"/>
        <v>2</v>
      </c>
      <c r="U779">
        <f t="shared" si="37"/>
        <v>0</v>
      </c>
      <c r="V779" t="b">
        <f t="shared" si="38"/>
        <v>0</v>
      </c>
    </row>
    <row r="780" spans="1:22" x14ac:dyDescent="0.3">
      <c r="A780" t="s">
        <v>1875</v>
      </c>
      <c r="B780">
        <v>2021</v>
      </c>
      <c r="C780" t="s">
        <v>810</v>
      </c>
      <c r="D780" t="s">
        <v>29</v>
      </c>
      <c r="E780" t="s">
        <v>1876</v>
      </c>
      <c r="F780" t="s">
        <v>39</v>
      </c>
      <c r="G780" t="s">
        <v>24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f t="shared" si="36"/>
        <v>2</v>
      </c>
      <c r="U780">
        <f t="shared" si="37"/>
        <v>0</v>
      </c>
      <c r="V780" t="b">
        <f t="shared" si="38"/>
        <v>0</v>
      </c>
    </row>
    <row r="781" spans="1:22" x14ac:dyDescent="0.3">
      <c r="A781" t="s">
        <v>1877</v>
      </c>
      <c r="B781">
        <v>2021</v>
      </c>
      <c r="C781" t="s">
        <v>203</v>
      </c>
      <c r="D781" t="s">
        <v>29</v>
      </c>
      <c r="E781" t="s">
        <v>1878</v>
      </c>
      <c r="F781" t="s">
        <v>31</v>
      </c>
      <c r="G781" t="s">
        <v>24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f t="shared" si="36"/>
        <v>2</v>
      </c>
      <c r="U781">
        <f t="shared" si="37"/>
        <v>0</v>
      </c>
      <c r="V781" t="b">
        <f t="shared" si="38"/>
        <v>0</v>
      </c>
    </row>
    <row r="782" spans="1:22" x14ac:dyDescent="0.3">
      <c r="A782" t="s">
        <v>1879</v>
      </c>
      <c r="B782">
        <v>2021</v>
      </c>
      <c r="C782" t="s">
        <v>810</v>
      </c>
      <c r="D782" t="s">
        <v>29</v>
      </c>
      <c r="E782" t="s">
        <v>1880</v>
      </c>
      <c r="F782" t="s">
        <v>39</v>
      </c>
      <c r="G782" t="s">
        <v>24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f t="shared" si="36"/>
        <v>3</v>
      </c>
      <c r="U782">
        <f t="shared" si="37"/>
        <v>0</v>
      </c>
      <c r="V782" t="b">
        <f t="shared" si="38"/>
        <v>0</v>
      </c>
    </row>
    <row r="783" spans="1:22" x14ac:dyDescent="0.3">
      <c r="A783" t="s">
        <v>1881</v>
      </c>
      <c r="B783">
        <v>2021</v>
      </c>
      <c r="C783" t="s">
        <v>221</v>
      </c>
      <c r="D783" t="s">
        <v>29</v>
      </c>
      <c r="E783" t="s">
        <v>1882</v>
      </c>
      <c r="F783" t="s">
        <v>39</v>
      </c>
      <c r="G783" t="s">
        <v>24</v>
      </c>
      <c r="H783">
        <v>1</v>
      </c>
      <c r="I783">
        <v>1</v>
      </c>
      <c r="J783">
        <v>0</v>
      </c>
      <c r="K783">
        <v>1</v>
      </c>
      <c r="L783">
        <v>1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f t="shared" si="36"/>
        <v>5</v>
      </c>
      <c r="U783">
        <f t="shared" si="37"/>
        <v>0</v>
      </c>
      <c r="V783" t="b">
        <f t="shared" si="38"/>
        <v>1</v>
      </c>
    </row>
    <row r="784" spans="1:22" x14ac:dyDescent="0.3">
      <c r="A784" t="s">
        <v>1883</v>
      </c>
      <c r="B784">
        <v>2021</v>
      </c>
      <c r="C784" t="s">
        <v>1884</v>
      </c>
      <c r="D784" t="s">
        <v>29</v>
      </c>
      <c r="E784" t="s">
        <v>1885</v>
      </c>
      <c r="F784" t="s">
        <v>31</v>
      </c>
      <c r="G784" t="s">
        <v>24</v>
      </c>
      <c r="H784">
        <v>1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f t="shared" si="36"/>
        <v>3</v>
      </c>
      <c r="U784">
        <f t="shared" si="37"/>
        <v>0</v>
      </c>
      <c r="V784" t="b">
        <f t="shared" si="38"/>
        <v>0</v>
      </c>
    </row>
    <row r="785" spans="1:22" x14ac:dyDescent="0.3">
      <c r="A785" t="s">
        <v>1886</v>
      </c>
      <c r="B785">
        <v>2021</v>
      </c>
      <c r="C785" t="s">
        <v>209</v>
      </c>
      <c r="D785" t="s">
        <v>29</v>
      </c>
      <c r="E785" t="s">
        <v>1887</v>
      </c>
      <c r="F785" t="s">
        <v>39</v>
      </c>
      <c r="G785" t="s">
        <v>24</v>
      </c>
      <c r="H785">
        <v>1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f t="shared" si="36"/>
        <v>3</v>
      </c>
      <c r="U785">
        <f t="shared" si="37"/>
        <v>0</v>
      </c>
      <c r="V785" t="b">
        <f t="shared" si="38"/>
        <v>0</v>
      </c>
    </row>
    <row r="786" spans="1:22" x14ac:dyDescent="0.3">
      <c r="A786" t="s">
        <v>1888</v>
      </c>
      <c r="B786">
        <v>2021</v>
      </c>
      <c r="C786" t="s">
        <v>221</v>
      </c>
      <c r="D786" t="s">
        <v>29</v>
      </c>
      <c r="E786" t="s">
        <v>1889</v>
      </c>
      <c r="F786" t="s">
        <v>39</v>
      </c>
      <c r="G786" t="s">
        <v>24</v>
      </c>
      <c r="H786">
        <v>1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f t="shared" si="36"/>
        <v>3</v>
      </c>
      <c r="U786">
        <f t="shared" si="37"/>
        <v>0</v>
      </c>
      <c r="V786" t="b">
        <f t="shared" si="38"/>
        <v>0</v>
      </c>
    </row>
    <row r="787" spans="1:22" x14ac:dyDescent="0.3">
      <c r="A787" t="s">
        <v>1890</v>
      </c>
      <c r="B787">
        <v>2021</v>
      </c>
      <c r="C787" t="s">
        <v>1891</v>
      </c>
      <c r="D787" t="s">
        <v>21</v>
      </c>
      <c r="E787" t="s">
        <v>1892</v>
      </c>
      <c r="F787" t="s">
        <v>23</v>
      </c>
      <c r="G787" t="s">
        <v>24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f t="shared" si="36"/>
        <v>2</v>
      </c>
      <c r="U787">
        <f t="shared" si="37"/>
        <v>0</v>
      </c>
      <c r="V787" t="b">
        <f t="shared" si="38"/>
        <v>0</v>
      </c>
    </row>
    <row r="788" spans="1:22" x14ac:dyDescent="0.3">
      <c r="A788" t="s">
        <v>1893</v>
      </c>
      <c r="B788">
        <v>2021</v>
      </c>
      <c r="C788" t="s">
        <v>1894</v>
      </c>
      <c r="D788" t="s">
        <v>29</v>
      </c>
      <c r="E788" t="s">
        <v>1895</v>
      </c>
      <c r="F788" t="s">
        <v>39</v>
      </c>
      <c r="G788" t="s">
        <v>24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f t="shared" si="36"/>
        <v>2</v>
      </c>
      <c r="U788">
        <f t="shared" si="37"/>
        <v>0</v>
      </c>
      <c r="V788" t="b">
        <f t="shared" si="38"/>
        <v>0</v>
      </c>
    </row>
    <row r="789" spans="1:22" x14ac:dyDescent="0.3">
      <c r="A789" t="s">
        <v>1896</v>
      </c>
      <c r="B789">
        <v>2021</v>
      </c>
      <c r="C789" t="s">
        <v>195</v>
      </c>
      <c r="D789" t="s">
        <v>29</v>
      </c>
      <c r="E789" t="s">
        <v>1897</v>
      </c>
      <c r="F789" t="s">
        <v>39</v>
      </c>
      <c r="G789" t="s">
        <v>24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f t="shared" si="36"/>
        <v>2</v>
      </c>
      <c r="U789">
        <f t="shared" si="37"/>
        <v>0</v>
      </c>
      <c r="V789" t="b">
        <f t="shared" si="38"/>
        <v>0</v>
      </c>
    </row>
    <row r="790" spans="1:22" x14ac:dyDescent="0.3">
      <c r="A790" t="s">
        <v>1898</v>
      </c>
      <c r="B790">
        <v>2021</v>
      </c>
      <c r="C790" t="s">
        <v>1899</v>
      </c>
      <c r="D790" t="s">
        <v>29</v>
      </c>
      <c r="E790" t="s">
        <v>1900</v>
      </c>
      <c r="F790" t="s">
        <v>39</v>
      </c>
      <c r="G790" t="s">
        <v>24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f t="shared" si="36"/>
        <v>2</v>
      </c>
      <c r="U790">
        <f t="shared" si="37"/>
        <v>0</v>
      </c>
      <c r="V790" t="b">
        <f t="shared" si="38"/>
        <v>0</v>
      </c>
    </row>
    <row r="791" spans="1:22" x14ac:dyDescent="0.3">
      <c r="A791" t="s">
        <v>1901</v>
      </c>
      <c r="B791">
        <v>2020</v>
      </c>
      <c r="C791" t="s">
        <v>112</v>
      </c>
      <c r="D791" t="s">
        <v>29</v>
      </c>
      <c r="E791" t="s">
        <v>1902</v>
      </c>
      <c r="F791" t="s">
        <v>31</v>
      </c>
      <c r="G791" t="s">
        <v>24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f t="shared" si="36"/>
        <v>2</v>
      </c>
      <c r="U791">
        <f t="shared" si="37"/>
        <v>0</v>
      </c>
      <c r="V791" t="b">
        <f t="shared" si="38"/>
        <v>0</v>
      </c>
    </row>
    <row r="792" spans="1:22" x14ac:dyDescent="0.3">
      <c r="A792" t="s">
        <v>1903</v>
      </c>
      <c r="B792">
        <v>2020</v>
      </c>
      <c r="C792" t="s">
        <v>1904</v>
      </c>
      <c r="D792" t="s">
        <v>21</v>
      </c>
      <c r="E792" t="s">
        <v>1905</v>
      </c>
      <c r="F792" t="s">
        <v>23</v>
      </c>
      <c r="G792" t="s">
        <v>24</v>
      </c>
      <c r="H792">
        <v>1</v>
      </c>
      <c r="I792">
        <v>1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f t="shared" si="36"/>
        <v>5</v>
      </c>
      <c r="U792">
        <f t="shared" si="37"/>
        <v>0</v>
      </c>
      <c r="V792" t="b">
        <f t="shared" si="38"/>
        <v>1</v>
      </c>
    </row>
    <row r="793" spans="1:22" x14ac:dyDescent="0.3">
      <c r="A793" t="s">
        <v>1906</v>
      </c>
      <c r="B793">
        <v>2020</v>
      </c>
      <c r="C793" t="s">
        <v>1907</v>
      </c>
      <c r="D793" t="s">
        <v>21</v>
      </c>
      <c r="E793" t="s">
        <v>1908</v>
      </c>
      <c r="F793" t="s">
        <v>23</v>
      </c>
      <c r="G793" t="s">
        <v>24</v>
      </c>
      <c r="H793">
        <v>1</v>
      </c>
      <c r="I793">
        <v>1</v>
      </c>
      <c r="J793">
        <v>0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f t="shared" si="36"/>
        <v>5</v>
      </c>
      <c r="U793">
        <f t="shared" si="37"/>
        <v>0</v>
      </c>
      <c r="V793" t="b">
        <f t="shared" si="38"/>
        <v>1</v>
      </c>
    </row>
    <row r="794" spans="1:22" x14ac:dyDescent="0.3">
      <c r="A794" t="s">
        <v>1909</v>
      </c>
      <c r="B794">
        <v>2020</v>
      </c>
      <c r="C794" t="s">
        <v>1910</v>
      </c>
      <c r="D794" t="s">
        <v>21</v>
      </c>
      <c r="E794" t="s">
        <v>1911</v>
      </c>
      <c r="F794" t="s">
        <v>23</v>
      </c>
      <c r="G794" t="s">
        <v>24</v>
      </c>
      <c r="H794">
        <v>1</v>
      </c>
      <c r="I794">
        <v>1</v>
      </c>
      <c r="J794">
        <v>0</v>
      </c>
      <c r="K794">
        <v>1</v>
      </c>
      <c r="L794">
        <v>1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f t="shared" si="36"/>
        <v>5</v>
      </c>
      <c r="U794">
        <f t="shared" si="37"/>
        <v>1</v>
      </c>
      <c r="V794" t="b">
        <f t="shared" si="38"/>
        <v>1</v>
      </c>
    </row>
    <row r="795" spans="1:22" x14ac:dyDescent="0.3">
      <c r="A795" t="s">
        <v>1912</v>
      </c>
      <c r="B795">
        <v>2020</v>
      </c>
      <c r="C795" t="s">
        <v>1913</v>
      </c>
      <c r="D795" t="s">
        <v>21</v>
      </c>
      <c r="E795" t="s">
        <v>1914</v>
      </c>
      <c r="F795" t="s">
        <v>23</v>
      </c>
      <c r="G795" t="s">
        <v>24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f t="shared" si="36"/>
        <v>3</v>
      </c>
      <c r="U795">
        <f t="shared" si="37"/>
        <v>0</v>
      </c>
      <c r="V795" t="b">
        <f t="shared" si="38"/>
        <v>0</v>
      </c>
    </row>
    <row r="796" spans="1:22" x14ac:dyDescent="0.3">
      <c r="A796" t="s">
        <v>1915</v>
      </c>
      <c r="B796">
        <v>2020</v>
      </c>
      <c r="C796" t="s">
        <v>1904</v>
      </c>
      <c r="D796" t="s">
        <v>21</v>
      </c>
      <c r="E796" t="s">
        <v>1916</v>
      </c>
      <c r="F796" t="s">
        <v>23</v>
      </c>
      <c r="G796" t="s">
        <v>24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f t="shared" si="36"/>
        <v>2</v>
      </c>
      <c r="U796">
        <f t="shared" si="37"/>
        <v>0</v>
      </c>
      <c r="V796" t="b">
        <f t="shared" si="38"/>
        <v>0</v>
      </c>
    </row>
    <row r="797" spans="1:22" x14ac:dyDescent="0.3">
      <c r="A797" t="s">
        <v>1917</v>
      </c>
      <c r="B797">
        <v>2020</v>
      </c>
      <c r="C797" t="s">
        <v>1904</v>
      </c>
      <c r="D797" t="s">
        <v>21</v>
      </c>
      <c r="E797" t="s">
        <v>1918</v>
      </c>
      <c r="F797" t="s">
        <v>23</v>
      </c>
      <c r="G797" t="s">
        <v>24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f t="shared" si="36"/>
        <v>3</v>
      </c>
      <c r="U797">
        <f t="shared" si="37"/>
        <v>0</v>
      </c>
      <c r="V797" t="b">
        <f t="shared" si="38"/>
        <v>0</v>
      </c>
    </row>
    <row r="798" spans="1:22" x14ac:dyDescent="0.3">
      <c r="A798" t="s">
        <v>1919</v>
      </c>
      <c r="B798">
        <v>2020</v>
      </c>
      <c r="C798" t="s">
        <v>1904</v>
      </c>
      <c r="D798" t="s">
        <v>21</v>
      </c>
      <c r="E798" t="s">
        <v>1920</v>
      </c>
      <c r="F798" t="s">
        <v>23</v>
      </c>
      <c r="G798" t="s">
        <v>24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f t="shared" si="36"/>
        <v>2</v>
      </c>
      <c r="U798">
        <f t="shared" si="37"/>
        <v>0</v>
      </c>
      <c r="V798" t="b">
        <f t="shared" si="38"/>
        <v>0</v>
      </c>
    </row>
    <row r="799" spans="1:22" x14ac:dyDescent="0.3">
      <c r="A799" t="s">
        <v>1921</v>
      </c>
      <c r="B799">
        <v>2020</v>
      </c>
      <c r="C799" t="s">
        <v>1904</v>
      </c>
      <c r="D799" t="s">
        <v>21</v>
      </c>
      <c r="E799" t="s">
        <v>1922</v>
      </c>
      <c r="F799" t="s">
        <v>23</v>
      </c>
      <c r="G799" t="s">
        <v>24</v>
      </c>
      <c r="H799">
        <v>1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f t="shared" si="36"/>
        <v>3</v>
      </c>
      <c r="U799">
        <f t="shared" si="37"/>
        <v>0</v>
      </c>
      <c r="V799" t="b">
        <f t="shared" si="38"/>
        <v>0</v>
      </c>
    </row>
    <row r="800" spans="1:22" x14ac:dyDescent="0.3">
      <c r="A800" t="s">
        <v>1923</v>
      </c>
      <c r="B800">
        <v>2020</v>
      </c>
      <c r="C800" t="s">
        <v>48</v>
      </c>
      <c r="D800" t="s">
        <v>29</v>
      </c>
      <c r="E800" t="s">
        <v>1924</v>
      </c>
      <c r="F800" t="s">
        <v>31</v>
      </c>
      <c r="G800" t="s">
        <v>24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f t="shared" si="36"/>
        <v>2</v>
      </c>
      <c r="U800">
        <f t="shared" si="37"/>
        <v>0</v>
      </c>
      <c r="V800" t="b">
        <f t="shared" si="38"/>
        <v>0</v>
      </c>
    </row>
    <row r="801" spans="1:22" x14ac:dyDescent="0.3">
      <c r="A801" t="s">
        <v>1925</v>
      </c>
      <c r="B801">
        <v>2020</v>
      </c>
      <c r="C801" t="s">
        <v>1926</v>
      </c>
      <c r="D801" t="s">
        <v>21</v>
      </c>
      <c r="E801" t="s">
        <v>1927</v>
      </c>
      <c r="F801" t="s">
        <v>35</v>
      </c>
      <c r="G801" t="s">
        <v>24</v>
      </c>
      <c r="H801">
        <v>1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f t="shared" si="36"/>
        <v>3</v>
      </c>
      <c r="U801">
        <f t="shared" si="37"/>
        <v>0</v>
      </c>
      <c r="V801" t="b">
        <f t="shared" si="38"/>
        <v>0</v>
      </c>
    </row>
    <row r="802" spans="1:22" x14ac:dyDescent="0.3">
      <c r="A802" t="s">
        <v>1928</v>
      </c>
      <c r="B802">
        <v>2020</v>
      </c>
      <c r="C802" t="s">
        <v>1929</v>
      </c>
      <c r="D802" t="s">
        <v>21</v>
      </c>
      <c r="E802" t="s">
        <v>1930</v>
      </c>
      <c r="F802" t="s">
        <v>35</v>
      </c>
      <c r="G802" t="s">
        <v>24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f t="shared" si="36"/>
        <v>2</v>
      </c>
      <c r="U802">
        <f t="shared" si="37"/>
        <v>0</v>
      </c>
      <c r="V802" t="b">
        <f t="shared" si="38"/>
        <v>0</v>
      </c>
    </row>
    <row r="803" spans="1:22" x14ac:dyDescent="0.3">
      <c r="A803" t="s">
        <v>1931</v>
      </c>
      <c r="B803">
        <v>2020</v>
      </c>
      <c r="C803" t="s">
        <v>1904</v>
      </c>
      <c r="D803" t="s">
        <v>21</v>
      </c>
      <c r="E803" t="s">
        <v>1932</v>
      </c>
      <c r="F803" t="s">
        <v>23</v>
      </c>
      <c r="G803" t="s">
        <v>24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f t="shared" si="36"/>
        <v>2</v>
      </c>
      <c r="U803">
        <f t="shared" si="37"/>
        <v>0</v>
      </c>
      <c r="V803" t="b">
        <f t="shared" si="38"/>
        <v>0</v>
      </c>
    </row>
    <row r="804" spans="1:22" x14ac:dyDescent="0.3">
      <c r="A804" t="s">
        <v>1933</v>
      </c>
      <c r="B804">
        <v>2020</v>
      </c>
      <c r="C804" t="s">
        <v>37</v>
      </c>
      <c r="D804" t="s">
        <v>29</v>
      </c>
      <c r="E804" t="s">
        <v>1934</v>
      </c>
      <c r="F804" t="s">
        <v>39</v>
      </c>
      <c r="G804" t="s">
        <v>24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f t="shared" si="36"/>
        <v>2</v>
      </c>
      <c r="U804">
        <f t="shared" si="37"/>
        <v>0</v>
      </c>
      <c r="V804" t="b">
        <f t="shared" si="38"/>
        <v>0</v>
      </c>
    </row>
    <row r="805" spans="1:22" x14ac:dyDescent="0.3">
      <c r="A805" t="s">
        <v>1935</v>
      </c>
      <c r="B805">
        <v>2020</v>
      </c>
      <c r="C805" t="s">
        <v>630</v>
      </c>
      <c r="D805" t="s">
        <v>29</v>
      </c>
      <c r="E805" t="s">
        <v>1936</v>
      </c>
      <c r="F805" t="s">
        <v>39</v>
      </c>
      <c r="G805" t="s">
        <v>24</v>
      </c>
      <c r="H805">
        <v>1</v>
      </c>
      <c r="I805">
        <v>1</v>
      </c>
      <c r="J805">
        <v>0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f t="shared" si="36"/>
        <v>5</v>
      </c>
      <c r="U805">
        <f t="shared" si="37"/>
        <v>0</v>
      </c>
      <c r="V805" t="b">
        <f t="shared" si="38"/>
        <v>1</v>
      </c>
    </row>
    <row r="806" spans="1:22" x14ac:dyDescent="0.3">
      <c r="A806" t="s">
        <v>1937</v>
      </c>
      <c r="B806">
        <v>2020</v>
      </c>
      <c r="C806" t="s">
        <v>1904</v>
      </c>
      <c r="D806" t="s">
        <v>21</v>
      </c>
      <c r="E806" t="s">
        <v>1938</v>
      </c>
      <c r="F806" t="s">
        <v>23</v>
      </c>
      <c r="G806" t="s">
        <v>24</v>
      </c>
      <c r="H806">
        <v>0</v>
      </c>
      <c r="I806">
        <v>1</v>
      </c>
      <c r="J806">
        <v>0</v>
      </c>
      <c r="K806">
        <v>0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f t="shared" si="36"/>
        <v>3</v>
      </c>
      <c r="U806">
        <f t="shared" si="37"/>
        <v>1</v>
      </c>
      <c r="V806" t="b">
        <f t="shared" si="38"/>
        <v>0</v>
      </c>
    </row>
    <row r="807" spans="1:22" x14ac:dyDescent="0.3">
      <c r="A807" t="s">
        <v>1939</v>
      </c>
      <c r="B807">
        <v>2020</v>
      </c>
      <c r="C807" t="s">
        <v>48</v>
      </c>
      <c r="D807" t="s">
        <v>29</v>
      </c>
      <c r="E807" t="s">
        <v>1940</v>
      </c>
      <c r="F807" t="s">
        <v>31</v>
      </c>
      <c r="G807" t="s">
        <v>24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f t="shared" si="36"/>
        <v>2</v>
      </c>
      <c r="U807">
        <f t="shared" si="37"/>
        <v>0</v>
      </c>
      <c r="V807" t="b">
        <f t="shared" si="38"/>
        <v>0</v>
      </c>
    </row>
    <row r="808" spans="1:22" x14ac:dyDescent="0.3">
      <c r="A808" t="s">
        <v>1941</v>
      </c>
      <c r="B808">
        <v>2020</v>
      </c>
      <c r="C808" t="s">
        <v>1904</v>
      </c>
      <c r="D808" t="s">
        <v>21</v>
      </c>
      <c r="E808" t="s">
        <v>1942</v>
      </c>
      <c r="F808" t="s">
        <v>23</v>
      </c>
      <c r="G808" t="s">
        <v>24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f t="shared" si="36"/>
        <v>3</v>
      </c>
      <c r="U808">
        <f t="shared" si="37"/>
        <v>0</v>
      </c>
      <c r="V808" t="b">
        <f t="shared" si="38"/>
        <v>0</v>
      </c>
    </row>
    <row r="809" spans="1:22" x14ac:dyDescent="0.3">
      <c r="A809" t="s">
        <v>1943</v>
      </c>
      <c r="B809">
        <v>2020</v>
      </c>
      <c r="C809" t="s">
        <v>1910</v>
      </c>
      <c r="D809" t="s">
        <v>21</v>
      </c>
      <c r="E809" t="s">
        <v>1944</v>
      </c>
      <c r="F809" t="s">
        <v>23</v>
      </c>
      <c r="G809" t="s">
        <v>24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f t="shared" si="36"/>
        <v>3</v>
      </c>
      <c r="U809">
        <f t="shared" si="37"/>
        <v>0</v>
      </c>
      <c r="V809" t="b">
        <f t="shared" si="38"/>
        <v>0</v>
      </c>
    </row>
    <row r="810" spans="1:22" x14ac:dyDescent="0.3">
      <c r="A810" t="s">
        <v>1945</v>
      </c>
      <c r="B810">
        <v>2020</v>
      </c>
      <c r="C810" t="s">
        <v>1946</v>
      </c>
      <c r="D810" t="s">
        <v>21</v>
      </c>
      <c r="E810" t="s">
        <v>1947</v>
      </c>
      <c r="F810" t="s">
        <v>35</v>
      </c>
      <c r="G810" t="s">
        <v>24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f t="shared" si="36"/>
        <v>2</v>
      </c>
      <c r="U810">
        <f t="shared" si="37"/>
        <v>0</v>
      </c>
      <c r="V810" t="b">
        <f t="shared" si="38"/>
        <v>0</v>
      </c>
    </row>
    <row r="811" spans="1:22" x14ac:dyDescent="0.3">
      <c r="A811" t="s">
        <v>1948</v>
      </c>
      <c r="B811">
        <v>2020</v>
      </c>
      <c r="C811" t="s">
        <v>1913</v>
      </c>
      <c r="D811" t="s">
        <v>21</v>
      </c>
      <c r="E811" t="s">
        <v>1949</v>
      </c>
      <c r="F811" t="s">
        <v>23</v>
      </c>
      <c r="G811" t="s">
        <v>24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f t="shared" si="36"/>
        <v>3</v>
      </c>
      <c r="U811">
        <f t="shared" si="37"/>
        <v>0</v>
      </c>
      <c r="V811" t="b">
        <f t="shared" si="38"/>
        <v>0</v>
      </c>
    </row>
    <row r="812" spans="1:22" x14ac:dyDescent="0.3">
      <c r="A812" t="s">
        <v>1950</v>
      </c>
      <c r="B812">
        <v>2020</v>
      </c>
      <c r="C812" t="s">
        <v>1910</v>
      </c>
      <c r="D812" t="s">
        <v>21</v>
      </c>
      <c r="E812" t="s">
        <v>1951</v>
      </c>
      <c r="F812" t="s">
        <v>23</v>
      </c>
      <c r="G812" t="s">
        <v>24</v>
      </c>
      <c r="H812">
        <v>1</v>
      </c>
      <c r="I812">
        <v>1</v>
      </c>
      <c r="J812">
        <v>0</v>
      </c>
      <c r="K812">
        <v>1</v>
      </c>
      <c r="L812">
        <v>1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f t="shared" si="36"/>
        <v>5</v>
      </c>
      <c r="U812">
        <f t="shared" si="37"/>
        <v>0</v>
      </c>
      <c r="V812" t="b">
        <f t="shared" si="38"/>
        <v>1</v>
      </c>
    </row>
    <row r="813" spans="1:22" x14ac:dyDescent="0.3">
      <c r="A813" t="s">
        <v>1952</v>
      </c>
      <c r="B813">
        <v>2020</v>
      </c>
      <c r="C813" t="s">
        <v>1904</v>
      </c>
      <c r="D813" t="s">
        <v>21</v>
      </c>
      <c r="E813" t="s">
        <v>1953</v>
      </c>
      <c r="F813" t="s">
        <v>23</v>
      </c>
      <c r="G813" t="s">
        <v>24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f t="shared" si="36"/>
        <v>3</v>
      </c>
      <c r="U813">
        <f t="shared" si="37"/>
        <v>0</v>
      </c>
      <c r="V813" t="b">
        <f t="shared" si="38"/>
        <v>0</v>
      </c>
    </row>
    <row r="814" spans="1:22" x14ac:dyDescent="0.3">
      <c r="A814" t="s">
        <v>1954</v>
      </c>
      <c r="B814">
        <v>2020</v>
      </c>
      <c r="C814" t="s">
        <v>1955</v>
      </c>
      <c r="D814" t="s">
        <v>21</v>
      </c>
      <c r="E814" t="s">
        <v>1956</v>
      </c>
      <c r="F814" t="s">
        <v>994</v>
      </c>
      <c r="G814" t="s">
        <v>24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f t="shared" si="36"/>
        <v>2</v>
      </c>
      <c r="U814">
        <f t="shared" si="37"/>
        <v>0</v>
      </c>
      <c r="V814" t="b">
        <f t="shared" si="38"/>
        <v>0</v>
      </c>
    </row>
    <row r="815" spans="1:22" x14ac:dyDescent="0.3">
      <c r="A815" t="s">
        <v>1957</v>
      </c>
      <c r="B815">
        <v>2020</v>
      </c>
      <c r="C815" t="s">
        <v>28</v>
      </c>
      <c r="D815" t="s">
        <v>29</v>
      </c>
      <c r="E815" t="s">
        <v>1958</v>
      </c>
      <c r="F815" t="s">
        <v>31</v>
      </c>
      <c r="G815" t="s">
        <v>24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f t="shared" si="36"/>
        <v>3</v>
      </c>
      <c r="U815">
        <f t="shared" si="37"/>
        <v>0</v>
      </c>
      <c r="V815" t="b">
        <f t="shared" si="38"/>
        <v>0</v>
      </c>
    </row>
    <row r="816" spans="1:22" x14ac:dyDescent="0.3">
      <c r="A816" t="s">
        <v>1959</v>
      </c>
      <c r="B816">
        <v>2020</v>
      </c>
      <c r="C816" t="s">
        <v>1960</v>
      </c>
      <c r="D816" t="s">
        <v>21</v>
      </c>
      <c r="E816" t="s">
        <v>1961</v>
      </c>
      <c r="F816" t="s">
        <v>35</v>
      </c>
      <c r="G816" t="s">
        <v>24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f t="shared" si="36"/>
        <v>3</v>
      </c>
      <c r="U816">
        <f t="shared" si="37"/>
        <v>0</v>
      </c>
      <c r="V816" t="b">
        <f t="shared" si="38"/>
        <v>0</v>
      </c>
    </row>
    <row r="817" spans="1:22" x14ac:dyDescent="0.3">
      <c r="A817" t="s">
        <v>1962</v>
      </c>
      <c r="B817">
        <v>2020</v>
      </c>
      <c r="C817" t="s">
        <v>1929</v>
      </c>
      <c r="D817" t="s">
        <v>21</v>
      </c>
      <c r="E817" t="s">
        <v>1963</v>
      </c>
      <c r="F817" t="s">
        <v>35</v>
      </c>
      <c r="G817" t="s">
        <v>24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f t="shared" si="36"/>
        <v>2</v>
      </c>
      <c r="U817">
        <f t="shared" si="37"/>
        <v>0</v>
      </c>
      <c r="V817" t="b">
        <f t="shared" si="38"/>
        <v>0</v>
      </c>
    </row>
    <row r="818" spans="1:22" x14ac:dyDescent="0.3">
      <c r="A818" t="s">
        <v>1964</v>
      </c>
      <c r="B818">
        <v>2020</v>
      </c>
      <c r="C818" t="s">
        <v>1946</v>
      </c>
      <c r="D818" t="s">
        <v>21</v>
      </c>
      <c r="E818" t="s">
        <v>1965</v>
      </c>
      <c r="F818" t="s">
        <v>35</v>
      </c>
      <c r="G818" t="s">
        <v>24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f t="shared" si="36"/>
        <v>2</v>
      </c>
      <c r="U818">
        <f t="shared" si="37"/>
        <v>1</v>
      </c>
      <c r="V818" t="b">
        <f t="shared" si="38"/>
        <v>0</v>
      </c>
    </row>
    <row r="819" spans="1:22" x14ac:dyDescent="0.3">
      <c r="A819" t="s">
        <v>1966</v>
      </c>
      <c r="B819">
        <v>2020</v>
      </c>
      <c r="C819" t="s">
        <v>53</v>
      </c>
      <c r="D819" t="s">
        <v>29</v>
      </c>
      <c r="E819" t="s">
        <v>1967</v>
      </c>
      <c r="F819" t="s">
        <v>31</v>
      </c>
      <c r="G819" t="s">
        <v>24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f t="shared" si="36"/>
        <v>2</v>
      </c>
      <c r="U819">
        <f t="shared" si="37"/>
        <v>0</v>
      </c>
      <c r="V819" t="b">
        <f t="shared" si="38"/>
        <v>0</v>
      </c>
    </row>
    <row r="820" spans="1:22" x14ac:dyDescent="0.3">
      <c r="A820" t="s">
        <v>1968</v>
      </c>
      <c r="B820">
        <v>2020</v>
      </c>
      <c r="C820" t="s">
        <v>1969</v>
      </c>
      <c r="D820" t="s">
        <v>21</v>
      </c>
      <c r="E820" t="s">
        <v>1970</v>
      </c>
      <c r="F820" t="s">
        <v>23</v>
      </c>
      <c r="G820" t="s">
        <v>24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f t="shared" si="36"/>
        <v>3</v>
      </c>
      <c r="U820">
        <f t="shared" si="37"/>
        <v>0</v>
      </c>
      <c r="V820" t="b">
        <f t="shared" si="38"/>
        <v>0</v>
      </c>
    </row>
    <row r="821" spans="1:22" x14ac:dyDescent="0.3">
      <c r="A821" t="s">
        <v>1971</v>
      </c>
      <c r="B821">
        <v>2020</v>
      </c>
      <c r="C821" t="s">
        <v>28</v>
      </c>
      <c r="D821" t="s">
        <v>29</v>
      </c>
      <c r="E821" t="s">
        <v>1972</v>
      </c>
      <c r="F821" t="s">
        <v>31</v>
      </c>
      <c r="G821" t="s">
        <v>24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f t="shared" si="36"/>
        <v>3</v>
      </c>
      <c r="U821">
        <f t="shared" si="37"/>
        <v>0</v>
      </c>
      <c r="V821" t="b">
        <f t="shared" si="38"/>
        <v>0</v>
      </c>
    </row>
    <row r="822" spans="1:22" x14ac:dyDescent="0.3">
      <c r="A822" t="s">
        <v>1973</v>
      </c>
      <c r="B822">
        <v>2020</v>
      </c>
      <c r="C822" t="s">
        <v>1946</v>
      </c>
      <c r="D822" t="s">
        <v>21</v>
      </c>
      <c r="E822" t="s">
        <v>1974</v>
      </c>
      <c r="F822" t="s">
        <v>35</v>
      </c>
      <c r="G822" t="s">
        <v>24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f t="shared" si="36"/>
        <v>2</v>
      </c>
      <c r="U822">
        <f t="shared" si="37"/>
        <v>0</v>
      </c>
      <c r="V822" t="b">
        <f t="shared" si="38"/>
        <v>0</v>
      </c>
    </row>
    <row r="823" spans="1:22" x14ac:dyDescent="0.3">
      <c r="A823" t="s">
        <v>1975</v>
      </c>
      <c r="B823">
        <v>2020</v>
      </c>
      <c r="C823" t="s">
        <v>37</v>
      </c>
      <c r="D823" t="s">
        <v>29</v>
      </c>
      <c r="E823" t="s">
        <v>1976</v>
      </c>
      <c r="F823" t="s">
        <v>39</v>
      </c>
      <c r="G823" t="s">
        <v>24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f t="shared" si="36"/>
        <v>3</v>
      </c>
      <c r="U823">
        <f t="shared" si="37"/>
        <v>0</v>
      </c>
      <c r="V823" t="b">
        <f t="shared" si="38"/>
        <v>0</v>
      </c>
    </row>
    <row r="824" spans="1:22" x14ac:dyDescent="0.3">
      <c r="A824" t="s">
        <v>1977</v>
      </c>
      <c r="B824">
        <v>2020</v>
      </c>
      <c r="C824" t="s">
        <v>37</v>
      </c>
      <c r="D824" t="s">
        <v>29</v>
      </c>
      <c r="E824" t="s">
        <v>1978</v>
      </c>
      <c r="F824" t="s">
        <v>39</v>
      </c>
      <c r="G824" t="s">
        <v>24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f t="shared" si="36"/>
        <v>2</v>
      </c>
      <c r="U824">
        <f t="shared" si="37"/>
        <v>0</v>
      </c>
      <c r="V824" t="b">
        <f t="shared" si="38"/>
        <v>0</v>
      </c>
    </row>
    <row r="825" spans="1:22" x14ac:dyDescent="0.3">
      <c r="A825" t="s">
        <v>1979</v>
      </c>
      <c r="B825">
        <v>2020</v>
      </c>
      <c r="C825" t="s">
        <v>1926</v>
      </c>
      <c r="D825" t="s">
        <v>21</v>
      </c>
      <c r="E825" t="s">
        <v>1980</v>
      </c>
      <c r="F825" t="s">
        <v>35</v>
      </c>
      <c r="G825" t="s">
        <v>24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f t="shared" si="36"/>
        <v>2</v>
      </c>
      <c r="U825">
        <f t="shared" si="37"/>
        <v>0</v>
      </c>
      <c r="V825" t="b">
        <f t="shared" si="38"/>
        <v>0</v>
      </c>
    </row>
    <row r="826" spans="1:22" x14ac:dyDescent="0.3">
      <c r="A826" t="s">
        <v>1981</v>
      </c>
      <c r="B826">
        <v>2020</v>
      </c>
      <c r="C826" t="s">
        <v>1982</v>
      </c>
      <c r="D826" t="s">
        <v>21</v>
      </c>
      <c r="E826" t="s">
        <v>1983</v>
      </c>
      <c r="F826" t="s">
        <v>23</v>
      </c>
      <c r="G826" t="s">
        <v>24</v>
      </c>
      <c r="H826">
        <v>1</v>
      </c>
      <c r="I826">
        <v>1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f t="shared" si="36"/>
        <v>5</v>
      </c>
      <c r="U826">
        <f t="shared" si="37"/>
        <v>0</v>
      </c>
      <c r="V826" t="b">
        <f t="shared" si="38"/>
        <v>1</v>
      </c>
    </row>
    <row r="827" spans="1:22" x14ac:dyDescent="0.3">
      <c r="A827" t="s">
        <v>1984</v>
      </c>
      <c r="B827">
        <v>2020</v>
      </c>
      <c r="C827" t="s">
        <v>1985</v>
      </c>
      <c r="D827" t="s">
        <v>21</v>
      </c>
      <c r="E827" t="s">
        <v>1986</v>
      </c>
      <c r="F827" t="s">
        <v>510</v>
      </c>
      <c r="G827" t="s">
        <v>24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f t="shared" si="36"/>
        <v>2</v>
      </c>
      <c r="U827">
        <f t="shared" si="37"/>
        <v>0</v>
      </c>
      <c r="V827" t="b">
        <f t="shared" si="38"/>
        <v>0</v>
      </c>
    </row>
    <row r="828" spans="1:22" x14ac:dyDescent="0.3">
      <c r="A828" t="s">
        <v>1987</v>
      </c>
      <c r="B828">
        <v>2020</v>
      </c>
      <c r="C828" t="s">
        <v>1988</v>
      </c>
      <c r="D828" t="s">
        <v>323</v>
      </c>
      <c r="E828" t="s">
        <v>1989</v>
      </c>
      <c r="F828" t="s">
        <v>23</v>
      </c>
      <c r="G828" t="s">
        <v>24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f t="shared" si="36"/>
        <v>6</v>
      </c>
      <c r="U828">
        <f t="shared" si="37"/>
        <v>0</v>
      </c>
      <c r="V828" t="b">
        <f t="shared" si="38"/>
        <v>1</v>
      </c>
    </row>
    <row r="829" spans="1:22" x14ac:dyDescent="0.3">
      <c r="A829" t="s">
        <v>1990</v>
      </c>
      <c r="B829">
        <v>2020</v>
      </c>
      <c r="C829" t="s">
        <v>133</v>
      </c>
      <c r="D829" t="s">
        <v>29</v>
      </c>
      <c r="E829" t="s">
        <v>1991</v>
      </c>
      <c r="F829" t="s">
        <v>39</v>
      </c>
      <c r="G829" t="s">
        <v>24</v>
      </c>
      <c r="H829">
        <v>1</v>
      </c>
      <c r="I829">
        <v>1</v>
      </c>
      <c r="J829">
        <v>0</v>
      </c>
      <c r="K829">
        <v>1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f t="shared" si="36"/>
        <v>5</v>
      </c>
      <c r="U829">
        <f t="shared" si="37"/>
        <v>0</v>
      </c>
      <c r="V829" t="b">
        <f t="shared" si="38"/>
        <v>1</v>
      </c>
    </row>
    <row r="830" spans="1:22" x14ac:dyDescent="0.3">
      <c r="A830" t="s">
        <v>1992</v>
      </c>
      <c r="B830">
        <v>2020</v>
      </c>
      <c r="C830" t="s">
        <v>1993</v>
      </c>
      <c r="D830" t="s">
        <v>21</v>
      </c>
      <c r="E830" t="s">
        <v>1994</v>
      </c>
      <c r="F830" t="s">
        <v>23</v>
      </c>
      <c r="G830" t="s">
        <v>24</v>
      </c>
      <c r="H830">
        <v>0</v>
      </c>
      <c r="I830">
        <v>0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f t="shared" si="36"/>
        <v>3</v>
      </c>
      <c r="U830">
        <f t="shared" si="37"/>
        <v>0</v>
      </c>
      <c r="V830" t="b">
        <f t="shared" si="38"/>
        <v>0</v>
      </c>
    </row>
    <row r="831" spans="1:22" x14ac:dyDescent="0.3">
      <c r="A831" t="s">
        <v>1995</v>
      </c>
      <c r="B831">
        <v>2020</v>
      </c>
      <c r="C831" t="s">
        <v>133</v>
      </c>
      <c r="D831" t="s">
        <v>29</v>
      </c>
      <c r="E831" t="s">
        <v>1996</v>
      </c>
      <c r="F831" t="s">
        <v>39</v>
      </c>
      <c r="G831" t="s">
        <v>24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f t="shared" si="36"/>
        <v>3</v>
      </c>
      <c r="U831">
        <f t="shared" si="37"/>
        <v>0</v>
      </c>
      <c r="V831" t="b">
        <f t="shared" si="38"/>
        <v>0</v>
      </c>
    </row>
    <row r="832" spans="1:22" x14ac:dyDescent="0.3">
      <c r="A832" t="s">
        <v>1997</v>
      </c>
      <c r="B832">
        <v>2020</v>
      </c>
      <c r="C832" t="s">
        <v>133</v>
      </c>
      <c r="D832" t="s">
        <v>29</v>
      </c>
      <c r="E832" t="s">
        <v>1998</v>
      </c>
      <c r="F832" t="s">
        <v>39</v>
      </c>
      <c r="G832" t="s">
        <v>24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f t="shared" si="36"/>
        <v>3</v>
      </c>
      <c r="U832">
        <f t="shared" si="37"/>
        <v>0</v>
      </c>
      <c r="V832" t="b">
        <f t="shared" si="38"/>
        <v>0</v>
      </c>
    </row>
    <row r="833" spans="1:22" x14ac:dyDescent="0.3">
      <c r="A833" t="s">
        <v>1999</v>
      </c>
      <c r="B833">
        <v>2020</v>
      </c>
      <c r="C833" t="s">
        <v>133</v>
      </c>
      <c r="D833" t="s">
        <v>29</v>
      </c>
      <c r="E833" t="s">
        <v>2000</v>
      </c>
      <c r="F833" t="s">
        <v>39</v>
      </c>
      <c r="G833" t="s">
        <v>24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f t="shared" si="36"/>
        <v>3</v>
      </c>
      <c r="U833">
        <f t="shared" si="37"/>
        <v>0</v>
      </c>
      <c r="V833" t="b">
        <f t="shared" si="38"/>
        <v>0</v>
      </c>
    </row>
    <row r="834" spans="1:22" x14ac:dyDescent="0.3">
      <c r="A834" t="s">
        <v>2001</v>
      </c>
      <c r="B834">
        <v>2020</v>
      </c>
      <c r="C834" t="s">
        <v>133</v>
      </c>
      <c r="D834" t="s">
        <v>29</v>
      </c>
      <c r="E834" t="s">
        <v>2002</v>
      </c>
      <c r="F834" t="s">
        <v>39</v>
      </c>
      <c r="G834" t="s">
        <v>24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f t="shared" si="36"/>
        <v>3</v>
      </c>
      <c r="U834">
        <f t="shared" si="37"/>
        <v>0</v>
      </c>
      <c r="V834" t="b">
        <f t="shared" si="38"/>
        <v>0</v>
      </c>
    </row>
    <row r="835" spans="1:22" x14ac:dyDescent="0.3">
      <c r="A835" t="s">
        <v>2003</v>
      </c>
      <c r="B835">
        <v>2020</v>
      </c>
      <c r="C835" t="s">
        <v>2004</v>
      </c>
      <c r="D835" t="s">
        <v>21</v>
      </c>
      <c r="E835" t="s">
        <v>2005</v>
      </c>
      <c r="F835" t="s">
        <v>23</v>
      </c>
      <c r="G835" t="s">
        <v>24</v>
      </c>
      <c r="H835">
        <v>1</v>
      </c>
      <c r="I835">
        <v>1</v>
      </c>
      <c r="J835">
        <v>0</v>
      </c>
      <c r="K835">
        <v>1</v>
      </c>
      <c r="L835">
        <v>1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f t="shared" ref="T835:T898" si="39">SUM(H835:M835)</f>
        <v>5</v>
      </c>
      <c r="U835">
        <f t="shared" ref="U835:U898" si="40">SUM(N835:R835)</f>
        <v>0</v>
      </c>
      <c r="V835" t="b">
        <f t="shared" ref="V835:V898" si="41">T835&gt;4</f>
        <v>1</v>
      </c>
    </row>
    <row r="836" spans="1:22" x14ac:dyDescent="0.3">
      <c r="A836" t="s">
        <v>2006</v>
      </c>
      <c r="B836">
        <v>2020</v>
      </c>
      <c r="C836" t="s">
        <v>133</v>
      </c>
      <c r="D836" t="s">
        <v>29</v>
      </c>
      <c r="E836" t="s">
        <v>2007</v>
      </c>
      <c r="F836" t="s">
        <v>39</v>
      </c>
      <c r="G836" t="s">
        <v>24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f t="shared" si="39"/>
        <v>3</v>
      </c>
      <c r="U836">
        <f t="shared" si="40"/>
        <v>0</v>
      </c>
      <c r="V836" t="b">
        <f t="shared" si="41"/>
        <v>0</v>
      </c>
    </row>
    <row r="837" spans="1:22" x14ac:dyDescent="0.3">
      <c r="A837" t="s">
        <v>2008</v>
      </c>
      <c r="B837">
        <v>2020</v>
      </c>
      <c r="C837" t="s">
        <v>129</v>
      </c>
      <c r="D837" t="s">
        <v>29</v>
      </c>
      <c r="E837" t="s">
        <v>2009</v>
      </c>
      <c r="F837" t="s">
        <v>39</v>
      </c>
      <c r="G837" t="s">
        <v>24</v>
      </c>
      <c r="H837">
        <v>1</v>
      </c>
      <c r="I837">
        <v>1</v>
      </c>
      <c r="J837">
        <v>0</v>
      </c>
      <c r="K837">
        <v>1</v>
      </c>
      <c r="L837">
        <v>1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f t="shared" si="39"/>
        <v>5</v>
      </c>
      <c r="U837">
        <f t="shared" si="40"/>
        <v>0</v>
      </c>
      <c r="V837" t="b">
        <f t="shared" si="41"/>
        <v>1</v>
      </c>
    </row>
    <row r="838" spans="1:22" x14ac:dyDescent="0.3">
      <c r="A838" t="s">
        <v>2010</v>
      </c>
      <c r="B838">
        <v>2020</v>
      </c>
      <c r="C838" t="s">
        <v>133</v>
      </c>
      <c r="D838" t="s">
        <v>29</v>
      </c>
      <c r="E838" t="s">
        <v>2011</v>
      </c>
      <c r="F838" t="s">
        <v>39</v>
      </c>
      <c r="G838" t="s">
        <v>24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f t="shared" si="39"/>
        <v>3</v>
      </c>
      <c r="U838">
        <f t="shared" si="40"/>
        <v>0</v>
      </c>
      <c r="V838" t="b">
        <f t="shared" si="41"/>
        <v>0</v>
      </c>
    </row>
    <row r="839" spans="1:22" x14ac:dyDescent="0.3">
      <c r="A839" t="s">
        <v>2012</v>
      </c>
      <c r="B839">
        <v>2020</v>
      </c>
      <c r="C839" t="s">
        <v>133</v>
      </c>
      <c r="D839" t="s">
        <v>29</v>
      </c>
      <c r="E839" t="s">
        <v>2013</v>
      </c>
      <c r="F839" t="s">
        <v>39</v>
      </c>
      <c r="G839" t="s">
        <v>24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f t="shared" si="39"/>
        <v>3</v>
      </c>
      <c r="U839">
        <f t="shared" si="40"/>
        <v>0</v>
      </c>
      <c r="V839" t="b">
        <f t="shared" si="41"/>
        <v>0</v>
      </c>
    </row>
    <row r="840" spans="1:22" x14ac:dyDescent="0.3">
      <c r="A840" t="s">
        <v>2014</v>
      </c>
      <c r="B840">
        <v>2020</v>
      </c>
      <c r="C840" t="s">
        <v>1085</v>
      </c>
      <c r="D840" t="s">
        <v>130</v>
      </c>
      <c r="E840" t="s">
        <v>2015</v>
      </c>
      <c r="F840" t="s">
        <v>31</v>
      </c>
      <c r="G840" t="s">
        <v>24</v>
      </c>
      <c r="H840">
        <v>1</v>
      </c>
      <c r="I840">
        <v>0</v>
      </c>
      <c r="J840">
        <v>1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f t="shared" si="39"/>
        <v>4</v>
      </c>
      <c r="U840">
        <f t="shared" si="40"/>
        <v>0</v>
      </c>
      <c r="V840" t="b">
        <f t="shared" si="41"/>
        <v>0</v>
      </c>
    </row>
    <row r="841" spans="1:22" x14ac:dyDescent="0.3">
      <c r="A841" t="s">
        <v>2016</v>
      </c>
      <c r="B841">
        <v>2020</v>
      </c>
      <c r="C841" t="s">
        <v>1174</v>
      </c>
      <c r="D841" t="s">
        <v>29</v>
      </c>
      <c r="E841" t="s">
        <v>2017</v>
      </c>
      <c r="F841" t="s">
        <v>39</v>
      </c>
      <c r="G841" t="s">
        <v>24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f t="shared" si="39"/>
        <v>2</v>
      </c>
      <c r="U841">
        <f t="shared" si="40"/>
        <v>0</v>
      </c>
      <c r="V841" t="b">
        <f t="shared" si="41"/>
        <v>0</v>
      </c>
    </row>
    <row r="842" spans="1:22" x14ac:dyDescent="0.3">
      <c r="A842" t="s">
        <v>2018</v>
      </c>
      <c r="B842">
        <v>2020</v>
      </c>
      <c r="C842" t="s">
        <v>2019</v>
      </c>
      <c r="D842" t="s">
        <v>29</v>
      </c>
      <c r="E842" t="s">
        <v>2020</v>
      </c>
      <c r="F842" t="s">
        <v>31</v>
      </c>
      <c r="G842" t="s">
        <v>24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f t="shared" si="39"/>
        <v>2</v>
      </c>
      <c r="U842">
        <f t="shared" si="40"/>
        <v>0</v>
      </c>
      <c r="V842" t="b">
        <f t="shared" si="41"/>
        <v>0</v>
      </c>
    </row>
    <row r="843" spans="1:22" x14ac:dyDescent="0.3">
      <c r="A843" t="s">
        <v>2021</v>
      </c>
      <c r="B843">
        <v>2020</v>
      </c>
      <c r="C843" t="s">
        <v>1174</v>
      </c>
      <c r="D843" t="s">
        <v>29</v>
      </c>
      <c r="E843" t="s">
        <v>2022</v>
      </c>
      <c r="F843" t="s">
        <v>39</v>
      </c>
      <c r="G843" t="s">
        <v>24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f t="shared" si="39"/>
        <v>3</v>
      </c>
      <c r="U843">
        <f t="shared" si="40"/>
        <v>1</v>
      </c>
      <c r="V843" t="b">
        <f t="shared" si="41"/>
        <v>0</v>
      </c>
    </row>
    <row r="844" spans="1:22" x14ac:dyDescent="0.3">
      <c r="A844" t="s">
        <v>2023</v>
      </c>
      <c r="B844">
        <v>2020</v>
      </c>
      <c r="C844" t="s">
        <v>799</v>
      </c>
      <c r="D844" t="s">
        <v>29</v>
      </c>
      <c r="E844" t="s">
        <v>2024</v>
      </c>
      <c r="F844" t="s">
        <v>31</v>
      </c>
      <c r="G844" t="s">
        <v>24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f t="shared" si="39"/>
        <v>3</v>
      </c>
      <c r="U844">
        <f t="shared" si="40"/>
        <v>0</v>
      </c>
      <c r="V844" t="b">
        <f t="shared" si="41"/>
        <v>0</v>
      </c>
    </row>
    <row r="845" spans="1:22" x14ac:dyDescent="0.3">
      <c r="A845" t="s">
        <v>2025</v>
      </c>
      <c r="B845">
        <v>2020</v>
      </c>
      <c r="C845" t="s">
        <v>203</v>
      </c>
      <c r="D845" t="s">
        <v>29</v>
      </c>
      <c r="E845" t="s">
        <v>2026</v>
      </c>
      <c r="F845" t="s">
        <v>31</v>
      </c>
      <c r="G845" t="s">
        <v>24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f t="shared" si="39"/>
        <v>2</v>
      </c>
      <c r="U845">
        <f t="shared" si="40"/>
        <v>0</v>
      </c>
      <c r="V845" t="b">
        <f t="shared" si="41"/>
        <v>0</v>
      </c>
    </row>
    <row r="846" spans="1:22" x14ac:dyDescent="0.3">
      <c r="A846" t="s">
        <v>2027</v>
      </c>
      <c r="B846">
        <v>2020</v>
      </c>
      <c r="C846" t="s">
        <v>2028</v>
      </c>
      <c r="D846" t="s">
        <v>29</v>
      </c>
      <c r="E846" t="s">
        <v>2029</v>
      </c>
      <c r="F846" t="s">
        <v>39</v>
      </c>
      <c r="G846" t="s">
        <v>24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f t="shared" si="39"/>
        <v>3</v>
      </c>
      <c r="U846">
        <f t="shared" si="40"/>
        <v>0</v>
      </c>
      <c r="V846" t="b">
        <f t="shared" si="41"/>
        <v>0</v>
      </c>
    </row>
    <row r="847" spans="1:22" x14ac:dyDescent="0.3">
      <c r="A847" t="s">
        <v>2030</v>
      </c>
      <c r="B847">
        <v>2020</v>
      </c>
      <c r="C847" t="s">
        <v>1864</v>
      </c>
      <c r="D847" t="s">
        <v>29</v>
      </c>
      <c r="E847" t="s">
        <v>2031</v>
      </c>
      <c r="F847" t="s">
        <v>31</v>
      </c>
      <c r="G847" t="s">
        <v>24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f t="shared" si="39"/>
        <v>3</v>
      </c>
      <c r="U847">
        <f t="shared" si="40"/>
        <v>0</v>
      </c>
      <c r="V847" t="b">
        <f t="shared" si="41"/>
        <v>0</v>
      </c>
    </row>
    <row r="848" spans="1:22" x14ac:dyDescent="0.3">
      <c r="A848" t="s">
        <v>2032</v>
      </c>
      <c r="B848">
        <v>2020</v>
      </c>
      <c r="C848" t="s">
        <v>203</v>
      </c>
      <c r="D848" t="s">
        <v>29</v>
      </c>
      <c r="E848" t="s">
        <v>2033</v>
      </c>
      <c r="F848" t="s">
        <v>31</v>
      </c>
      <c r="G848" t="s">
        <v>24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f t="shared" si="39"/>
        <v>3</v>
      </c>
      <c r="U848">
        <f t="shared" si="40"/>
        <v>0</v>
      </c>
      <c r="V848" t="b">
        <f t="shared" si="41"/>
        <v>0</v>
      </c>
    </row>
    <row r="849" spans="1:22" x14ac:dyDescent="0.3">
      <c r="A849" t="s">
        <v>2034</v>
      </c>
      <c r="B849">
        <v>2020</v>
      </c>
      <c r="C849" t="s">
        <v>2035</v>
      </c>
      <c r="D849" t="s">
        <v>29</v>
      </c>
      <c r="E849" t="s">
        <v>2036</v>
      </c>
      <c r="F849" t="s">
        <v>39</v>
      </c>
      <c r="G849" t="s">
        <v>24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f t="shared" si="39"/>
        <v>2</v>
      </c>
      <c r="U849">
        <f t="shared" si="40"/>
        <v>0</v>
      </c>
      <c r="V849" t="b">
        <f t="shared" si="41"/>
        <v>0</v>
      </c>
    </row>
    <row r="850" spans="1:22" x14ac:dyDescent="0.3">
      <c r="A850" t="s">
        <v>2037</v>
      </c>
      <c r="B850">
        <v>2020</v>
      </c>
      <c r="C850" t="s">
        <v>212</v>
      </c>
      <c r="D850" t="s">
        <v>29</v>
      </c>
      <c r="E850" t="s">
        <v>2038</v>
      </c>
      <c r="F850" t="s">
        <v>39</v>
      </c>
      <c r="G850" t="s">
        <v>24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f t="shared" si="39"/>
        <v>2</v>
      </c>
      <c r="U850">
        <f t="shared" si="40"/>
        <v>0</v>
      </c>
      <c r="V850" t="b">
        <f t="shared" si="41"/>
        <v>0</v>
      </c>
    </row>
    <row r="851" spans="1:22" x14ac:dyDescent="0.3">
      <c r="A851" t="s">
        <v>2039</v>
      </c>
      <c r="B851">
        <v>2020</v>
      </c>
      <c r="C851" t="s">
        <v>2040</v>
      </c>
      <c r="D851" t="s">
        <v>29</v>
      </c>
      <c r="E851" t="s">
        <v>2041</v>
      </c>
      <c r="F851" t="s">
        <v>39</v>
      </c>
      <c r="G851" t="s">
        <v>24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f t="shared" si="39"/>
        <v>3</v>
      </c>
      <c r="U851">
        <f t="shared" si="40"/>
        <v>0</v>
      </c>
      <c r="V851" t="b">
        <f t="shared" si="41"/>
        <v>0</v>
      </c>
    </row>
    <row r="852" spans="1:22" x14ac:dyDescent="0.3">
      <c r="A852" t="s">
        <v>2042</v>
      </c>
      <c r="B852">
        <v>2019</v>
      </c>
      <c r="C852" t="s">
        <v>2043</v>
      </c>
      <c r="D852" t="s">
        <v>21</v>
      </c>
      <c r="E852" t="s">
        <v>2044</v>
      </c>
      <c r="F852" t="s">
        <v>23</v>
      </c>
      <c r="G852" t="s">
        <v>24</v>
      </c>
      <c r="H852">
        <v>1</v>
      </c>
      <c r="I852">
        <v>1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f t="shared" si="39"/>
        <v>5</v>
      </c>
      <c r="U852">
        <f t="shared" si="40"/>
        <v>1</v>
      </c>
      <c r="V852" t="b">
        <f t="shared" si="41"/>
        <v>1</v>
      </c>
    </row>
    <row r="853" spans="1:22" x14ac:dyDescent="0.3">
      <c r="A853" t="s">
        <v>2045</v>
      </c>
      <c r="B853">
        <v>2019</v>
      </c>
      <c r="C853" t="s">
        <v>2046</v>
      </c>
      <c r="D853" t="s">
        <v>21</v>
      </c>
      <c r="E853" t="s">
        <v>2047</v>
      </c>
      <c r="F853" t="s">
        <v>23</v>
      </c>
      <c r="G853" t="s">
        <v>24</v>
      </c>
      <c r="H853">
        <v>1</v>
      </c>
      <c r="I853">
        <v>1</v>
      </c>
      <c r="J853">
        <v>0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f t="shared" si="39"/>
        <v>5</v>
      </c>
      <c r="U853">
        <f t="shared" si="40"/>
        <v>0</v>
      </c>
      <c r="V853" t="b">
        <f t="shared" si="41"/>
        <v>1</v>
      </c>
    </row>
    <row r="854" spans="1:22" x14ac:dyDescent="0.3">
      <c r="A854" t="s">
        <v>2048</v>
      </c>
      <c r="B854">
        <v>2019</v>
      </c>
      <c r="C854" t="s">
        <v>53</v>
      </c>
      <c r="D854" t="s">
        <v>29</v>
      </c>
      <c r="E854" t="s">
        <v>2049</v>
      </c>
      <c r="F854" t="s">
        <v>31</v>
      </c>
      <c r="G854" t="s">
        <v>24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f t="shared" si="39"/>
        <v>2</v>
      </c>
      <c r="U854">
        <f t="shared" si="40"/>
        <v>0</v>
      </c>
      <c r="V854" t="b">
        <f t="shared" si="41"/>
        <v>0</v>
      </c>
    </row>
    <row r="855" spans="1:22" x14ac:dyDescent="0.3">
      <c r="A855" t="s">
        <v>2050</v>
      </c>
      <c r="B855">
        <v>2019</v>
      </c>
      <c r="C855" t="s">
        <v>2051</v>
      </c>
      <c r="D855" t="s">
        <v>21</v>
      </c>
      <c r="E855" t="s">
        <v>2052</v>
      </c>
      <c r="F855" t="s">
        <v>23</v>
      </c>
      <c r="G855" t="s">
        <v>24</v>
      </c>
      <c r="H855">
        <v>1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f t="shared" si="39"/>
        <v>3</v>
      </c>
      <c r="U855">
        <f t="shared" si="40"/>
        <v>0</v>
      </c>
      <c r="V855" t="b">
        <f t="shared" si="41"/>
        <v>0</v>
      </c>
    </row>
    <row r="856" spans="1:22" x14ac:dyDescent="0.3">
      <c r="A856" t="s">
        <v>2053</v>
      </c>
      <c r="B856">
        <v>2019</v>
      </c>
      <c r="C856" t="s">
        <v>2054</v>
      </c>
      <c r="D856" t="s">
        <v>21</v>
      </c>
      <c r="E856" t="s">
        <v>2055</v>
      </c>
      <c r="F856" t="s">
        <v>23</v>
      </c>
      <c r="G856" t="s">
        <v>24</v>
      </c>
      <c r="H856">
        <v>1</v>
      </c>
      <c r="I856">
        <v>0</v>
      </c>
      <c r="J856">
        <v>1</v>
      </c>
      <c r="K856">
        <v>0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f t="shared" si="39"/>
        <v>4</v>
      </c>
      <c r="U856">
        <f t="shared" si="40"/>
        <v>0</v>
      </c>
      <c r="V856" t="b">
        <f t="shared" si="41"/>
        <v>0</v>
      </c>
    </row>
    <row r="857" spans="1:22" x14ac:dyDescent="0.3">
      <c r="A857" t="s">
        <v>2056</v>
      </c>
      <c r="B857">
        <v>2019</v>
      </c>
      <c r="C857" t="s">
        <v>2046</v>
      </c>
      <c r="D857" t="s">
        <v>21</v>
      </c>
      <c r="E857" t="s">
        <v>2057</v>
      </c>
      <c r="F857" t="s">
        <v>23</v>
      </c>
      <c r="G857" t="s">
        <v>24</v>
      </c>
      <c r="H857">
        <v>1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f t="shared" si="39"/>
        <v>3</v>
      </c>
      <c r="U857">
        <f t="shared" si="40"/>
        <v>0</v>
      </c>
      <c r="V857" t="b">
        <f t="shared" si="41"/>
        <v>0</v>
      </c>
    </row>
    <row r="858" spans="1:22" x14ac:dyDescent="0.3">
      <c r="A858" t="s">
        <v>2058</v>
      </c>
      <c r="B858">
        <v>2019</v>
      </c>
      <c r="C858" t="s">
        <v>1753</v>
      </c>
      <c r="D858" t="s">
        <v>29</v>
      </c>
      <c r="E858" t="s">
        <v>2059</v>
      </c>
      <c r="F858" t="s">
        <v>31</v>
      </c>
      <c r="G858" t="s">
        <v>24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f t="shared" si="39"/>
        <v>3</v>
      </c>
      <c r="U858">
        <f t="shared" si="40"/>
        <v>1</v>
      </c>
      <c r="V858" t="b">
        <f t="shared" si="41"/>
        <v>0</v>
      </c>
    </row>
    <row r="859" spans="1:22" x14ac:dyDescent="0.3">
      <c r="A859" t="s">
        <v>2060</v>
      </c>
      <c r="B859">
        <v>2019</v>
      </c>
      <c r="C859" t="s">
        <v>2061</v>
      </c>
      <c r="D859" t="s">
        <v>21</v>
      </c>
      <c r="E859" t="s">
        <v>2062</v>
      </c>
      <c r="F859" t="s">
        <v>35</v>
      </c>
      <c r="G859" t="s">
        <v>24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f t="shared" si="39"/>
        <v>3</v>
      </c>
      <c r="U859">
        <f t="shared" si="40"/>
        <v>1</v>
      </c>
      <c r="V859" t="b">
        <f t="shared" si="41"/>
        <v>0</v>
      </c>
    </row>
    <row r="860" spans="1:22" x14ac:dyDescent="0.3">
      <c r="A860" t="s">
        <v>2063</v>
      </c>
      <c r="B860">
        <v>2019</v>
      </c>
      <c r="C860" t="s">
        <v>48</v>
      </c>
      <c r="D860" t="s">
        <v>29</v>
      </c>
      <c r="E860" t="s">
        <v>2064</v>
      </c>
      <c r="F860" t="s">
        <v>31</v>
      </c>
      <c r="G860" t="s">
        <v>24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f t="shared" si="39"/>
        <v>2</v>
      </c>
      <c r="U860">
        <f t="shared" si="40"/>
        <v>0</v>
      </c>
      <c r="V860" t="b">
        <f t="shared" si="41"/>
        <v>0</v>
      </c>
    </row>
    <row r="861" spans="1:22" x14ac:dyDescent="0.3">
      <c r="A861" t="s">
        <v>2065</v>
      </c>
      <c r="B861">
        <v>2019</v>
      </c>
      <c r="C861" t="s">
        <v>48</v>
      </c>
      <c r="D861" t="s">
        <v>29</v>
      </c>
      <c r="E861" t="s">
        <v>2066</v>
      </c>
      <c r="F861" t="s">
        <v>31</v>
      </c>
      <c r="G861" t="s">
        <v>24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f t="shared" si="39"/>
        <v>2</v>
      </c>
      <c r="U861">
        <f t="shared" si="40"/>
        <v>0</v>
      </c>
      <c r="V861" t="b">
        <f t="shared" si="41"/>
        <v>0</v>
      </c>
    </row>
    <row r="862" spans="1:22" x14ac:dyDescent="0.3">
      <c r="A862" t="s">
        <v>2067</v>
      </c>
      <c r="B862">
        <v>2019</v>
      </c>
      <c r="C862" t="s">
        <v>48</v>
      </c>
      <c r="D862" t="s">
        <v>29</v>
      </c>
      <c r="E862" t="s">
        <v>2068</v>
      </c>
      <c r="F862" t="s">
        <v>31</v>
      </c>
      <c r="G862" t="s">
        <v>24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f t="shared" si="39"/>
        <v>2</v>
      </c>
      <c r="U862">
        <f t="shared" si="40"/>
        <v>1</v>
      </c>
      <c r="V862" t="b">
        <f t="shared" si="41"/>
        <v>0</v>
      </c>
    </row>
    <row r="863" spans="1:22" x14ac:dyDescent="0.3">
      <c r="A863" t="s">
        <v>2069</v>
      </c>
      <c r="B863">
        <v>2019</v>
      </c>
      <c r="C863" t="s">
        <v>1753</v>
      </c>
      <c r="D863" t="s">
        <v>29</v>
      </c>
      <c r="E863" t="s">
        <v>2070</v>
      </c>
      <c r="F863" t="s">
        <v>31</v>
      </c>
      <c r="G863" t="s">
        <v>24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f t="shared" si="39"/>
        <v>3</v>
      </c>
      <c r="U863">
        <f t="shared" si="40"/>
        <v>1</v>
      </c>
      <c r="V863" t="b">
        <f t="shared" si="41"/>
        <v>0</v>
      </c>
    </row>
    <row r="864" spans="1:22" x14ac:dyDescent="0.3">
      <c r="A864" t="s">
        <v>2071</v>
      </c>
      <c r="B864">
        <v>2019</v>
      </c>
      <c r="C864" t="s">
        <v>48</v>
      </c>
      <c r="D864" t="s">
        <v>29</v>
      </c>
      <c r="E864" t="s">
        <v>2072</v>
      </c>
      <c r="F864" t="s">
        <v>31</v>
      </c>
      <c r="G864" t="s">
        <v>24</v>
      </c>
      <c r="H864">
        <v>0</v>
      </c>
      <c r="I864">
        <v>0</v>
      </c>
      <c r="J864">
        <v>1</v>
      </c>
      <c r="K864">
        <v>0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f t="shared" si="39"/>
        <v>3</v>
      </c>
      <c r="U864">
        <f t="shared" si="40"/>
        <v>0</v>
      </c>
      <c r="V864" t="b">
        <f t="shared" si="41"/>
        <v>0</v>
      </c>
    </row>
    <row r="865" spans="1:22" x14ac:dyDescent="0.3">
      <c r="A865" t="s">
        <v>2073</v>
      </c>
      <c r="B865">
        <v>2019</v>
      </c>
      <c r="C865" t="s">
        <v>2074</v>
      </c>
      <c r="D865" t="s">
        <v>21</v>
      </c>
      <c r="E865" t="s">
        <v>2075</v>
      </c>
      <c r="F865" t="s">
        <v>35</v>
      </c>
      <c r="G865" t="s">
        <v>24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f t="shared" si="39"/>
        <v>3</v>
      </c>
      <c r="U865">
        <f t="shared" si="40"/>
        <v>0</v>
      </c>
      <c r="V865" t="b">
        <f t="shared" si="41"/>
        <v>0</v>
      </c>
    </row>
    <row r="866" spans="1:22" x14ac:dyDescent="0.3">
      <c r="A866" t="s">
        <v>2076</v>
      </c>
      <c r="B866">
        <v>2019</v>
      </c>
      <c r="C866" t="s">
        <v>2077</v>
      </c>
      <c r="D866" t="s">
        <v>21</v>
      </c>
      <c r="E866" t="s">
        <v>2078</v>
      </c>
      <c r="F866" t="s">
        <v>35</v>
      </c>
      <c r="G866" t="s">
        <v>24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f t="shared" si="39"/>
        <v>2</v>
      </c>
      <c r="U866">
        <f t="shared" si="40"/>
        <v>0</v>
      </c>
      <c r="V866" t="b">
        <f t="shared" si="41"/>
        <v>0</v>
      </c>
    </row>
    <row r="867" spans="1:22" x14ac:dyDescent="0.3">
      <c r="A867" t="s">
        <v>2079</v>
      </c>
      <c r="B867">
        <v>2019</v>
      </c>
      <c r="C867" t="s">
        <v>2080</v>
      </c>
      <c r="D867" t="s">
        <v>21</v>
      </c>
      <c r="E867" t="s">
        <v>2081</v>
      </c>
      <c r="F867" t="s">
        <v>23</v>
      </c>
      <c r="G867" t="s">
        <v>24</v>
      </c>
      <c r="H867">
        <v>1</v>
      </c>
      <c r="I867">
        <v>0</v>
      </c>
      <c r="J867">
        <v>1</v>
      </c>
      <c r="K867">
        <v>0</v>
      </c>
      <c r="L867">
        <v>1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f t="shared" si="39"/>
        <v>4</v>
      </c>
      <c r="U867">
        <f t="shared" si="40"/>
        <v>0</v>
      </c>
      <c r="V867" t="b">
        <f t="shared" si="41"/>
        <v>0</v>
      </c>
    </row>
    <row r="868" spans="1:22" x14ac:dyDescent="0.3">
      <c r="A868" t="s">
        <v>2082</v>
      </c>
      <c r="B868">
        <v>2019</v>
      </c>
      <c r="C868" t="s">
        <v>2083</v>
      </c>
      <c r="D868" t="s">
        <v>21</v>
      </c>
      <c r="E868" t="s">
        <v>2084</v>
      </c>
      <c r="F868" t="s">
        <v>35</v>
      </c>
      <c r="G868" t="s">
        <v>24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f t="shared" si="39"/>
        <v>2</v>
      </c>
      <c r="U868">
        <f t="shared" si="40"/>
        <v>0</v>
      </c>
      <c r="V868" t="b">
        <f t="shared" si="41"/>
        <v>0</v>
      </c>
    </row>
    <row r="869" spans="1:22" x14ac:dyDescent="0.3">
      <c r="A869" t="s">
        <v>2085</v>
      </c>
      <c r="B869">
        <v>2019</v>
      </c>
      <c r="C869" t="s">
        <v>28</v>
      </c>
      <c r="D869" t="s">
        <v>29</v>
      </c>
      <c r="E869" t="s">
        <v>2086</v>
      </c>
      <c r="F869" t="s">
        <v>31</v>
      </c>
      <c r="G869" t="s">
        <v>24</v>
      </c>
      <c r="H869">
        <v>1</v>
      </c>
      <c r="I869">
        <v>1</v>
      </c>
      <c r="J869">
        <v>0</v>
      </c>
      <c r="K869">
        <v>1</v>
      </c>
      <c r="L869">
        <v>1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f t="shared" si="39"/>
        <v>5</v>
      </c>
      <c r="U869">
        <f t="shared" si="40"/>
        <v>0</v>
      </c>
      <c r="V869" t="b">
        <f t="shared" si="41"/>
        <v>1</v>
      </c>
    </row>
    <row r="870" spans="1:22" x14ac:dyDescent="0.3">
      <c r="A870" t="s">
        <v>2087</v>
      </c>
      <c r="B870">
        <v>2019</v>
      </c>
      <c r="C870" t="s">
        <v>37</v>
      </c>
      <c r="D870" t="s">
        <v>29</v>
      </c>
      <c r="E870" t="s">
        <v>2088</v>
      </c>
      <c r="F870" t="s">
        <v>39</v>
      </c>
      <c r="G870" t="s">
        <v>24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f t="shared" si="39"/>
        <v>2</v>
      </c>
      <c r="U870">
        <f t="shared" si="40"/>
        <v>0</v>
      </c>
      <c r="V870" t="b">
        <f t="shared" si="41"/>
        <v>0</v>
      </c>
    </row>
    <row r="871" spans="1:22" x14ac:dyDescent="0.3">
      <c r="A871" t="s">
        <v>2089</v>
      </c>
      <c r="B871">
        <v>2019</v>
      </c>
      <c r="C871" t="s">
        <v>1753</v>
      </c>
      <c r="D871" t="s">
        <v>29</v>
      </c>
      <c r="E871" t="s">
        <v>2090</v>
      </c>
      <c r="F871" t="s">
        <v>31</v>
      </c>
      <c r="G871" t="s">
        <v>24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f t="shared" si="39"/>
        <v>2</v>
      </c>
      <c r="U871">
        <f t="shared" si="40"/>
        <v>0</v>
      </c>
      <c r="V871" t="b">
        <f t="shared" si="41"/>
        <v>0</v>
      </c>
    </row>
    <row r="872" spans="1:22" x14ac:dyDescent="0.3">
      <c r="A872" t="s">
        <v>2091</v>
      </c>
      <c r="B872">
        <v>2019</v>
      </c>
      <c r="C872" t="s">
        <v>48</v>
      </c>
      <c r="D872" t="s">
        <v>29</v>
      </c>
      <c r="E872" t="s">
        <v>2092</v>
      </c>
      <c r="F872" t="s">
        <v>31</v>
      </c>
      <c r="G872" t="s">
        <v>24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f t="shared" si="39"/>
        <v>2</v>
      </c>
      <c r="U872">
        <f t="shared" si="40"/>
        <v>0</v>
      </c>
      <c r="V872" t="b">
        <f t="shared" si="41"/>
        <v>0</v>
      </c>
    </row>
    <row r="873" spans="1:22" x14ac:dyDescent="0.3">
      <c r="A873" t="s">
        <v>2093</v>
      </c>
      <c r="B873">
        <v>2019</v>
      </c>
      <c r="C873" t="s">
        <v>2094</v>
      </c>
      <c r="D873" t="s">
        <v>21</v>
      </c>
      <c r="E873" t="s">
        <v>2095</v>
      </c>
      <c r="F873" t="s">
        <v>35</v>
      </c>
      <c r="G873" t="s">
        <v>24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f t="shared" si="39"/>
        <v>2</v>
      </c>
      <c r="U873">
        <f t="shared" si="40"/>
        <v>0</v>
      </c>
      <c r="V873" t="b">
        <f t="shared" si="41"/>
        <v>0</v>
      </c>
    </row>
    <row r="874" spans="1:22" x14ac:dyDescent="0.3">
      <c r="A874" t="s">
        <v>2096</v>
      </c>
      <c r="B874">
        <v>2019</v>
      </c>
      <c r="C874" t="s">
        <v>48</v>
      </c>
      <c r="D874" t="s">
        <v>29</v>
      </c>
      <c r="E874" t="s">
        <v>2097</v>
      </c>
      <c r="F874" t="s">
        <v>31</v>
      </c>
      <c r="G874" t="s">
        <v>24</v>
      </c>
      <c r="H874">
        <v>1</v>
      </c>
      <c r="I874">
        <v>0</v>
      </c>
      <c r="J874">
        <v>1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f t="shared" si="39"/>
        <v>4</v>
      </c>
      <c r="U874">
        <f t="shared" si="40"/>
        <v>0</v>
      </c>
      <c r="V874" t="b">
        <f t="shared" si="41"/>
        <v>0</v>
      </c>
    </row>
    <row r="875" spans="1:22" x14ac:dyDescent="0.3">
      <c r="A875" t="s">
        <v>2098</v>
      </c>
      <c r="B875">
        <v>2019</v>
      </c>
      <c r="C875" t="s">
        <v>2099</v>
      </c>
      <c r="D875" t="s">
        <v>323</v>
      </c>
      <c r="E875" t="s">
        <v>2100</v>
      </c>
      <c r="F875" t="s">
        <v>23</v>
      </c>
      <c r="G875" t="s">
        <v>24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f t="shared" si="39"/>
        <v>6</v>
      </c>
      <c r="U875">
        <f t="shared" si="40"/>
        <v>0</v>
      </c>
      <c r="V875" t="b">
        <f t="shared" si="41"/>
        <v>1</v>
      </c>
    </row>
    <row r="876" spans="1:22" x14ac:dyDescent="0.3">
      <c r="A876" t="s">
        <v>2101</v>
      </c>
      <c r="B876">
        <v>2019</v>
      </c>
      <c r="C876" t="s">
        <v>2102</v>
      </c>
      <c r="D876" t="s">
        <v>21</v>
      </c>
      <c r="E876" t="s">
        <v>2103</v>
      </c>
      <c r="F876" t="s">
        <v>23</v>
      </c>
      <c r="G876" t="s">
        <v>24</v>
      </c>
      <c r="H876">
        <v>1</v>
      </c>
      <c r="I876">
        <v>0</v>
      </c>
      <c r="J876">
        <v>1</v>
      </c>
      <c r="K876">
        <v>0</v>
      </c>
      <c r="L876">
        <v>1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f t="shared" si="39"/>
        <v>4</v>
      </c>
      <c r="U876">
        <f t="shared" si="40"/>
        <v>0</v>
      </c>
      <c r="V876" t="b">
        <f t="shared" si="41"/>
        <v>0</v>
      </c>
    </row>
    <row r="877" spans="1:22" x14ac:dyDescent="0.3">
      <c r="A877" t="s">
        <v>2104</v>
      </c>
      <c r="B877">
        <v>2019</v>
      </c>
      <c r="C877" t="s">
        <v>2105</v>
      </c>
      <c r="D877" t="s">
        <v>21</v>
      </c>
      <c r="E877" t="s">
        <v>2106</v>
      </c>
      <c r="F877" t="s">
        <v>23</v>
      </c>
      <c r="G877" t="s">
        <v>24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f t="shared" si="39"/>
        <v>2</v>
      </c>
      <c r="U877">
        <f t="shared" si="40"/>
        <v>0</v>
      </c>
      <c r="V877" t="b">
        <f t="shared" si="41"/>
        <v>0</v>
      </c>
    </row>
    <row r="878" spans="1:22" x14ac:dyDescent="0.3">
      <c r="A878" t="s">
        <v>2107</v>
      </c>
      <c r="B878">
        <v>2019</v>
      </c>
      <c r="C878" t="s">
        <v>133</v>
      </c>
      <c r="D878" t="s">
        <v>130</v>
      </c>
      <c r="E878" t="s">
        <v>2108</v>
      </c>
      <c r="F878" t="s">
        <v>39</v>
      </c>
      <c r="G878" t="s">
        <v>24</v>
      </c>
      <c r="H878">
        <v>1</v>
      </c>
      <c r="I878">
        <v>1</v>
      </c>
      <c r="J878">
        <v>0</v>
      </c>
      <c r="K878">
        <v>1</v>
      </c>
      <c r="L878">
        <v>1</v>
      </c>
      <c r="M878">
        <v>1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f t="shared" si="39"/>
        <v>5</v>
      </c>
      <c r="U878">
        <f t="shared" si="40"/>
        <v>1</v>
      </c>
      <c r="V878" t="b">
        <f t="shared" si="41"/>
        <v>1</v>
      </c>
    </row>
    <row r="879" spans="1:22" x14ac:dyDescent="0.3">
      <c r="A879" t="s">
        <v>2109</v>
      </c>
      <c r="B879">
        <v>2019</v>
      </c>
      <c r="C879" t="s">
        <v>1832</v>
      </c>
      <c r="D879" t="s">
        <v>29</v>
      </c>
      <c r="E879" t="s">
        <v>2110</v>
      </c>
      <c r="F879" t="s">
        <v>39</v>
      </c>
      <c r="G879" t="s">
        <v>24</v>
      </c>
      <c r="H879">
        <v>1</v>
      </c>
      <c r="I879">
        <v>1</v>
      </c>
      <c r="J879">
        <v>0</v>
      </c>
      <c r="K879">
        <v>1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f t="shared" si="39"/>
        <v>5</v>
      </c>
      <c r="U879">
        <f t="shared" si="40"/>
        <v>0</v>
      </c>
      <c r="V879" t="b">
        <f t="shared" si="41"/>
        <v>1</v>
      </c>
    </row>
    <row r="880" spans="1:22" x14ac:dyDescent="0.3">
      <c r="A880" t="s">
        <v>2111</v>
      </c>
      <c r="B880">
        <v>2019</v>
      </c>
      <c r="C880" t="s">
        <v>133</v>
      </c>
      <c r="D880" t="s">
        <v>29</v>
      </c>
      <c r="E880" t="s">
        <v>2112</v>
      </c>
      <c r="F880" t="s">
        <v>39</v>
      </c>
      <c r="G880" t="s">
        <v>24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f t="shared" si="39"/>
        <v>3</v>
      </c>
      <c r="U880">
        <f t="shared" si="40"/>
        <v>0</v>
      </c>
      <c r="V880" t="b">
        <f t="shared" si="41"/>
        <v>0</v>
      </c>
    </row>
    <row r="881" spans="1:22" x14ac:dyDescent="0.3">
      <c r="A881" t="s">
        <v>2113</v>
      </c>
      <c r="B881">
        <v>2019</v>
      </c>
      <c r="C881" t="s">
        <v>2114</v>
      </c>
      <c r="D881" t="s">
        <v>21</v>
      </c>
      <c r="E881" t="s">
        <v>2115</v>
      </c>
      <c r="F881" t="s">
        <v>23</v>
      </c>
      <c r="G881" t="s">
        <v>24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f t="shared" si="39"/>
        <v>2</v>
      </c>
      <c r="U881">
        <f t="shared" si="40"/>
        <v>0</v>
      </c>
      <c r="V881" t="b">
        <f t="shared" si="41"/>
        <v>0</v>
      </c>
    </row>
    <row r="882" spans="1:22" x14ac:dyDescent="0.3">
      <c r="A882" t="s">
        <v>2116</v>
      </c>
      <c r="B882">
        <v>2019</v>
      </c>
      <c r="C882" t="s">
        <v>133</v>
      </c>
      <c r="D882" t="s">
        <v>29</v>
      </c>
      <c r="E882" t="s">
        <v>2117</v>
      </c>
      <c r="F882" t="s">
        <v>39</v>
      </c>
      <c r="G882" t="s">
        <v>24</v>
      </c>
      <c r="H882">
        <v>1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f t="shared" si="39"/>
        <v>3</v>
      </c>
      <c r="U882">
        <f t="shared" si="40"/>
        <v>0</v>
      </c>
      <c r="V882" t="b">
        <f t="shared" si="41"/>
        <v>0</v>
      </c>
    </row>
    <row r="883" spans="1:22" x14ac:dyDescent="0.3">
      <c r="A883" t="s">
        <v>2118</v>
      </c>
      <c r="B883">
        <v>2019</v>
      </c>
      <c r="C883" t="s">
        <v>799</v>
      </c>
      <c r="D883" t="s">
        <v>29</v>
      </c>
      <c r="E883" t="s">
        <v>2119</v>
      </c>
      <c r="F883" t="s">
        <v>31</v>
      </c>
      <c r="G883" t="s">
        <v>24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f t="shared" si="39"/>
        <v>2</v>
      </c>
      <c r="U883">
        <f t="shared" si="40"/>
        <v>0</v>
      </c>
      <c r="V883" t="b">
        <f t="shared" si="41"/>
        <v>0</v>
      </c>
    </row>
    <row r="884" spans="1:22" x14ac:dyDescent="0.3">
      <c r="A884" t="s">
        <v>2120</v>
      </c>
      <c r="B884">
        <v>2019</v>
      </c>
      <c r="C884" t="s">
        <v>221</v>
      </c>
      <c r="D884" t="s">
        <v>29</v>
      </c>
      <c r="E884" t="s">
        <v>2121</v>
      </c>
      <c r="F884" t="s">
        <v>39</v>
      </c>
      <c r="G884" t="s">
        <v>24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f t="shared" si="39"/>
        <v>2</v>
      </c>
      <c r="U884">
        <f t="shared" si="40"/>
        <v>0</v>
      </c>
      <c r="V884" t="b">
        <f t="shared" si="41"/>
        <v>0</v>
      </c>
    </row>
    <row r="885" spans="1:22" x14ac:dyDescent="0.3">
      <c r="A885" t="s">
        <v>2122</v>
      </c>
      <c r="B885">
        <v>2018</v>
      </c>
      <c r="C885" t="s">
        <v>2123</v>
      </c>
      <c r="D885" t="s">
        <v>21</v>
      </c>
      <c r="E885" t="s">
        <v>2124</v>
      </c>
      <c r="F885" t="s">
        <v>23</v>
      </c>
      <c r="G885" t="s">
        <v>24</v>
      </c>
      <c r="H885">
        <v>1</v>
      </c>
      <c r="I885">
        <v>1</v>
      </c>
      <c r="J885">
        <v>0</v>
      </c>
      <c r="K885">
        <v>1</v>
      </c>
      <c r="L885">
        <v>1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f t="shared" si="39"/>
        <v>5</v>
      </c>
      <c r="U885">
        <f t="shared" si="40"/>
        <v>0</v>
      </c>
      <c r="V885" t="b">
        <f t="shared" si="41"/>
        <v>1</v>
      </c>
    </row>
    <row r="886" spans="1:22" x14ac:dyDescent="0.3">
      <c r="A886" t="s">
        <v>2125</v>
      </c>
      <c r="B886">
        <v>2018</v>
      </c>
      <c r="C886" t="s">
        <v>2126</v>
      </c>
      <c r="D886" t="s">
        <v>21</v>
      </c>
      <c r="E886" t="s">
        <v>2127</v>
      </c>
      <c r="F886" t="s">
        <v>23</v>
      </c>
      <c r="G886" t="s">
        <v>24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f t="shared" si="39"/>
        <v>2</v>
      </c>
      <c r="U886">
        <f t="shared" si="40"/>
        <v>0</v>
      </c>
      <c r="V886" t="b">
        <f t="shared" si="41"/>
        <v>0</v>
      </c>
    </row>
    <row r="887" spans="1:22" x14ac:dyDescent="0.3">
      <c r="A887" t="s">
        <v>2128</v>
      </c>
      <c r="B887">
        <v>2018</v>
      </c>
      <c r="C887" t="s">
        <v>2129</v>
      </c>
      <c r="D887" t="s">
        <v>21</v>
      </c>
      <c r="E887" t="s">
        <v>2130</v>
      </c>
      <c r="F887" t="s">
        <v>23</v>
      </c>
      <c r="G887" t="s">
        <v>24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f t="shared" si="39"/>
        <v>4</v>
      </c>
      <c r="U887">
        <f t="shared" si="40"/>
        <v>0</v>
      </c>
      <c r="V887" t="b">
        <f t="shared" si="41"/>
        <v>0</v>
      </c>
    </row>
    <row r="888" spans="1:22" x14ac:dyDescent="0.3">
      <c r="A888" t="s">
        <v>2131</v>
      </c>
      <c r="B888">
        <v>2018</v>
      </c>
      <c r="C888" t="s">
        <v>37</v>
      </c>
      <c r="D888" t="s">
        <v>29</v>
      </c>
      <c r="E888" t="s">
        <v>2132</v>
      </c>
      <c r="F888" t="s">
        <v>39</v>
      </c>
      <c r="G888" t="s">
        <v>24</v>
      </c>
      <c r="H888">
        <v>1</v>
      </c>
      <c r="I888">
        <v>1</v>
      </c>
      <c r="J888">
        <v>0</v>
      </c>
      <c r="K888">
        <v>1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f t="shared" si="39"/>
        <v>5</v>
      </c>
      <c r="U888">
        <f t="shared" si="40"/>
        <v>0</v>
      </c>
      <c r="V888" t="b">
        <f t="shared" si="41"/>
        <v>1</v>
      </c>
    </row>
    <row r="889" spans="1:22" x14ac:dyDescent="0.3">
      <c r="A889" t="s">
        <v>2133</v>
      </c>
      <c r="B889">
        <v>2018</v>
      </c>
      <c r="C889" t="s">
        <v>2129</v>
      </c>
      <c r="D889" t="s">
        <v>21</v>
      </c>
      <c r="E889" t="s">
        <v>2134</v>
      </c>
      <c r="F889" t="s">
        <v>23</v>
      </c>
      <c r="G889" t="s">
        <v>24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f t="shared" si="39"/>
        <v>2</v>
      </c>
      <c r="U889">
        <f t="shared" si="40"/>
        <v>0</v>
      </c>
      <c r="V889" t="b">
        <f t="shared" si="41"/>
        <v>0</v>
      </c>
    </row>
    <row r="890" spans="1:22" x14ac:dyDescent="0.3">
      <c r="A890" t="s">
        <v>2135</v>
      </c>
      <c r="B890">
        <v>2018</v>
      </c>
      <c r="C890" t="s">
        <v>1753</v>
      </c>
      <c r="D890" t="s">
        <v>29</v>
      </c>
      <c r="E890" t="s">
        <v>2136</v>
      </c>
      <c r="F890" t="s">
        <v>31</v>
      </c>
      <c r="G890" t="s">
        <v>24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f t="shared" si="39"/>
        <v>2</v>
      </c>
      <c r="U890">
        <f t="shared" si="40"/>
        <v>0</v>
      </c>
      <c r="V890" t="b">
        <f t="shared" si="41"/>
        <v>0</v>
      </c>
    </row>
    <row r="891" spans="1:22" x14ac:dyDescent="0.3">
      <c r="A891" t="s">
        <v>2137</v>
      </c>
      <c r="B891">
        <v>2018</v>
      </c>
      <c r="C891" t="s">
        <v>2126</v>
      </c>
      <c r="D891" t="s">
        <v>21</v>
      </c>
      <c r="E891" t="s">
        <v>2138</v>
      </c>
      <c r="F891" t="s">
        <v>23</v>
      </c>
      <c r="G891" t="s">
        <v>24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f t="shared" si="39"/>
        <v>2</v>
      </c>
      <c r="U891">
        <f t="shared" si="40"/>
        <v>0</v>
      </c>
      <c r="V891" t="b">
        <f t="shared" si="41"/>
        <v>0</v>
      </c>
    </row>
    <row r="892" spans="1:22" x14ac:dyDescent="0.3">
      <c r="A892" t="s">
        <v>2139</v>
      </c>
      <c r="B892">
        <v>2018</v>
      </c>
      <c r="C892" t="s">
        <v>2140</v>
      </c>
      <c r="D892" t="s">
        <v>21</v>
      </c>
      <c r="E892" t="s">
        <v>2141</v>
      </c>
      <c r="F892" t="s">
        <v>35</v>
      </c>
      <c r="G892" t="s">
        <v>24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f t="shared" si="39"/>
        <v>2</v>
      </c>
      <c r="U892">
        <f t="shared" si="40"/>
        <v>0</v>
      </c>
      <c r="V892" t="b">
        <f t="shared" si="41"/>
        <v>0</v>
      </c>
    </row>
    <row r="893" spans="1:22" x14ac:dyDescent="0.3">
      <c r="A893" t="s">
        <v>2142</v>
      </c>
      <c r="B893">
        <v>2018</v>
      </c>
      <c r="C893" t="s">
        <v>1753</v>
      </c>
      <c r="D893" t="s">
        <v>29</v>
      </c>
      <c r="E893" t="s">
        <v>2143</v>
      </c>
      <c r="F893" t="s">
        <v>31</v>
      </c>
      <c r="G893" t="s">
        <v>24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f t="shared" si="39"/>
        <v>2</v>
      </c>
      <c r="U893">
        <f t="shared" si="40"/>
        <v>0</v>
      </c>
      <c r="V893" t="b">
        <f t="shared" si="41"/>
        <v>0</v>
      </c>
    </row>
    <row r="894" spans="1:22" x14ac:dyDescent="0.3">
      <c r="A894" t="s">
        <v>2144</v>
      </c>
      <c r="B894">
        <v>2018</v>
      </c>
      <c r="C894" t="s">
        <v>2126</v>
      </c>
      <c r="D894" t="s">
        <v>21</v>
      </c>
      <c r="E894" t="s">
        <v>2145</v>
      </c>
      <c r="F894" t="s">
        <v>23</v>
      </c>
      <c r="G894" t="s">
        <v>24</v>
      </c>
      <c r="H894">
        <v>1</v>
      </c>
      <c r="I894">
        <v>1</v>
      </c>
      <c r="J894">
        <v>0</v>
      </c>
      <c r="K894">
        <v>1</v>
      </c>
      <c r="L894">
        <v>1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f t="shared" si="39"/>
        <v>5</v>
      </c>
      <c r="U894">
        <f t="shared" si="40"/>
        <v>1</v>
      </c>
      <c r="V894" t="b">
        <f t="shared" si="41"/>
        <v>1</v>
      </c>
    </row>
    <row r="895" spans="1:22" x14ac:dyDescent="0.3">
      <c r="A895" t="s">
        <v>2146</v>
      </c>
      <c r="B895">
        <v>2018</v>
      </c>
      <c r="C895" t="s">
        <v>2147</v>
      </c>
      <c r="D895" t="s">
        <v>323</v>
      </c>
      <c r="E895" t="s">
        <v>2148</v>
      </c>
      <c r="F895" t="s">
        <v>23</v>
      </c>
      <c r="G895" t="s">
        <v>24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f t="shared" si="39"/>
        <v>2</v>
      </c>
      <c r="U895">
        <f t="shared" si="40"/>
        <v>0</v>
      </c>
      <c r="V895" t="b">
        <f t="shared" si="41"/>
        <v>0</v>
      </c>
    </row>
    <row r="896" spans="1:22" x14ac:dyDescent="0.3">
      <c r="A896" t="s">
        <v>2149</v>
      </c>
      <c r="B896">
        <v>2018</v>
      </c>
      <c r="C896" t="s">
        <v>2140</v>
      </c>
      <c r="D896" t="s">
        <v>21</v>
      </c>
      <c r="E896" t="s">
        <v>2150</v>
      </c>
      <c r="F896" t="s">
        <v>35</v>
      </c>
      <c r="G896" t="s">
        <v>24</v>
      </c>
      <c r="H896">
        <v>1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f t="shared" si="39"/>
        <v>3</v>
      </c>
      <c r="U896">
        <f t="shared" si="40"/>
        <v>0</v>
      </c>
      <c r="V896" t="b">
        <f t="shared" si="41"/>
        <v>0</v>
      </c>
    </row>
    <row r="897" spans="1:22" x14ac:dyDescent="0.3">
      <c r="A897" t="s">
        <v>2151</v>
      </c>
      <c r="B897">
        <v>2018</v>
      </c>
      <c r="C897" t="s">
        <v>2129</v>
      </c>
      <c r="D897" t="s">
        <v>21</v>
      </c>
      <c r="E897" t="s">
        <v>2152</v>
      </c>
      <c r="F897" t="s">
        <v>23</v>
      </c>
      <c r="G897" t="s">
        <v>24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f t="shared" si="39"/>
        <v>3</v>
      </c>
      <c r="U897">
        <f t="shared" si="40"/>
        <v>0</v>
      </c>
      <c r="V897" t="b">
        <f t="shared" si="41"/>
        <v>0</v>
      </c>
    </row>
    <row r="898" spans="1:22" x14ac:dyDescent="0.3">
      <c r="A898" t="s">
        <v>2153</v>
      </c>
      <c r="B898">
        <v>2018</v>
      </c>
      <c r="C898" t="s">
        <v>2154</v>
      </c>
      <c r="D898" t="s">
        <v>21</v>
      </c>
      <c r="E898" t="s">
        <v>2155</v>
      </c>
      <c r="F898" t="s">
        <v>35</v>
      </c>
      <c r="G898" t="s">
        <v>24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f t="shared" si="39"/>
        <v>2</v>
      </c>
      <c r="U898">
        <f t="shared" si="40"/>
        <v>0</v>
      </c>
      <c r="V898" t="b">
        <f t="shared" si="41"/>
        <v>0</v>
      </c>
    </row>
    <row r="899" spans="1:22" x14ac:dyDescent="0.3">
      <c r="A899" t="s">
        <v>2156</v>
      </c>
      <c r="B899">
        <v>2018</v>
      </c>
      <c r="C899" t="s">
        <v>2154</v>
      </c>
      <c r="D899" t="s">
        <v>21</v>
      </c>
      <c r="E899" t="s">
        <v>2157</v>
      </c>
      <c r="F899" t="s">
        <v>35</v>
      </c>
      <c r="G899" t="s">
        <v>24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f t="shared" ref="T899:T962" si="42">SUM(H899:M899)</f>
        <v>2</v>
      </c>
      <c r="U899">
        <f t="shared" ref="U899:U962" si="43">SUM(N899:R899)</f>
        <v>0</v>
      </c>
      <c r="V899" t="b">
        <f t="shared" ref="V899:V962" si="44">T899&gt;4</f>
        <v>0</v>
      </c>
    </row>
    <row r="900" spans="1:22" x14ac:dyDescent="0.3">
      <c r="A900" t="s">
        <v>2158</v>
      </c>
      <c r="B900">
        <v>2018</v>
      </c>
      <c r="C900" t="s">
        <v>53</v>
      </c>
      <c r="D900" t="s">
        <v>29</v>
      </c>
      <c r="E900" t="s">
        <v>2159</v>
      </c>
      <c r="F900" t="s">
        <v>31</v>
      </c>
      <c r="G900" t="s">
        <v>24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f t="shared" si="42"/>
        <v>3</v>
      </c>
      <c r="U900">
        <f t="shared" si="43"/>
        <v>0</v>
      </c>
      <c r="V900" t="b">
        <f t="shared" si="44"/>
        <v>0</v>
      </c>
    </row>
    <row r="901" spans="1:22" x14ac:dyDescent="0.3">
      <c r="A901" t="s">
        <v>2160</v>
      </c>
      <c r="B901">
        <v>2018</v>
      </c>
      <c r="C901" t="s">
        <v>28</v>
      </c>
      <c r="D901" t="s">
        <v>29</v>
      </c>
      <c r="E901" t="s">
        <v>2161</v>
      </c>
      <c r="F901" t="s">
        <v>31</v>
      </c>
      <c r="G901" t="s">
        <v>24</v>
      </c>
      <c r="H901">
        <v>0</v>
      </c>
      <c r="I901">
        <v>0</v>
      </c>
      <c r="J901">
        <v>1</v>
      </c>
      <c r="K901">
        <v>0</v>
      </c>
      <c r="L901">
        <v>1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f t="shared" si="42"/>
        <v>3</v>
      </c>
      <c r="U901">
        <f t="shared" si="43"/>
        <v>0</v>
      </c>
      <c r="V901" t="b">
        <f t="shared" si="44"/>
        <v>0</v>
      </c>
    </row>
    <row r="902" spans="1:22" x14ac:dyDescent="0.3">
      <c r="A902" t="s">
        <v>2162</v>
      </c>
      <c r="B902">
        <v>2018</v>
      </c>
      <c r="C902" t="s">
        <v>2163</v>
      </c>
      <c r="D902" t="s">
        <v>21</v>
      </c>
      <c r="E902" t="s">
        <v>2164</v>
      </c>
      <c r="F902" t="s">
        <v>35</v>
      </c>
      <c r="G902" t="s">
        <v>24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f t="shared" si="42"/>
        <v>2</v>
      </c>
      <c r="U902">
        <f t="shared" si="43"/>
        <v>0</v>
      </c>
      <c r="V902" t="b">
        <f t="shared" si="44"/>
        <v>0</v>
      </c>
    </row>
    <row r="903" spans="1:22" x14ac:dyDescent="0.3">
      <c r="A903" t="s">
        <v>2165</v>
      </c>
      <c r="B903">
        <v>2018</v>
      </c>
      <c r="C903" t="s">
        <v>2166</v>
      </c>
      <c r="D903" t="s">
        <v>21</v>
      </c>
      <c r="E903" t="s">
        <v>2167</v>
      </c>
      <c r="F903" t="s">
        <v>35</v>
      </c>
      <c r="G903" t="s">
        <v>24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f t="shared" si="42"/>
        <v>6</v>
      </c>
      <c r="U903">
        <f t="shared" si="43"/>
        <v>0</v>
      </c>
      <c r="V903" t="b">
        <f t="shared" si="44"/>
        <v>1</v>
      </c>
    </row>
    <row r="904" spans="1:22" x14ac:dyDescent="0.3">
      <c r="A904" t="s">
        <v>2168</v>
      </c>
      <c r="B904">
        <v>2018</v>
      </c>
      <c r="C904" t="s">
        <v>2169</v>
      </c>
      <c r="D904" t="s">
        <v>323</v>
      </c>
      <c r="E904" t="s">
        <v>2170</v>
      </c>
      <c r="F904" t="s">
        <v>23</v>
      </c>
      <c r="G904" t="s">
        <v>24</v>
      </c>
      <c r="H904">
        <v>0</v>
      </c>
      <c r="I904">
        <v>1</v>
      </c>
      <c r="J904">
        <v>0</v>
      </c>
      <c r="K904">
        <v>0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f t="shared" si="42"/>
        <v>3</v>
      </c>
      <c r="U904">
        <f t="shared" si="43"/>
        <v>1</v>
      </c>
      <c r="V904" t="b">
        <f t="shared" si="44"/>
        <v>0</v>
      </c>
    </row>
    <row r="905" spans="1:22" x14ac:dyDescent="0.3">
      <c r="A905" t="s">
        <v>2171</v>
      </c>
      <c r="B905">
        <v>2018</v>
      </c>
      <c r="C905" t="s">
        <v>2172</v>
      </c>
      <c r="D905" t="s">
        <v>21</v>
      </c>
      <c r="E905" t="s">
        <v>2173</v>
      </c>
      <c r="F905" t="s">
        <v>2174</v>
      </c>
      <c r="G905" t="s">
        <v>24</v>
      </c>
      <c r="H905">
        <v>1</v>
      </c>
      <c r="I905">
        <v>1</v>
      </c>
      <c r="J905">
        <v>0</v>
      </c>
      <c r="K905">
        <v>1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f t="shared" si="42"/>
        <v>5</v>
      </c>
      <c r="U905">
        <f t="shared" si="43"/>
        <v>0</v>
      </c>
      <c r="V905" t="b">
        <f t="shared" si="44"/>
        <v>1</v>
      </c>
    </row>
    <row r="906" spans="1:22" x14ac:dyDescent="0.3">
      <c r="A906" t="s">
        <v>2175</v>
      </c>
      <c r="B906">
        <v>2018</v>
      </c>
      <c r="C906" t="s">
        <v>2176</v>
      </c>
      <c r="D906" t="s">
        <v>21</v>
      </c>
      <c r="E906" t="s">
        <v>2177</v>
      </c>
      <c r="F906" t="s">
        <v>23</v>
      </c>
      <c r="G906" t="s">
        <v>24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f t="shared" si="42"/>
        <v>3</v>
      </c>
      <c r="U906">
        <f t="shared" si="43"/>
        <v>0</v>
      </c>
      <c r="V906" t="b">
        <f t="shared" si="44"/>
        <v>0</v>
      </c>
    </row>
    <row r="907" spans="1:22" x14ac:dyDescent="0.3">
      <c r="A907" t="s">
        <v>2178</v>
      </c>
      <c r="B907">
        <v>2018</v>
      </c>
      <c r="C907" t="s">
        <v>133</v>
      </c>
      <c r="D907" t="s">
        <v>29</v>
      </c>
      <c r="E907" t="s">
        <v>2179</v>
      </c>
      <c r="F907" t="s">
        <v>39</v>
      </c>
      <c r="G907" t="s">
        <v>24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f t="shared" si="42"/>
        <v>3</v>
      </c>
      <c r="U907">
        <f t="shared" si="43"/>
        <v>0</v>
      </c>
      <c r="V907" t="b">
        <f t="shared" si="44"/>
        <v>0</v>
      </c>
    </row>
    <row r="908" spans="1:22" x14ac:dyDescent="0.3">
      <c r="A908" t="s">
        <v>2180</v>
      </c>
      <c r="B908">
        <v>2018</v>
      </c>
      <c r="C908" t="s">
        <v>133</v>
      </c>
      <c r="D908" t="s">
        <v>29</v>
      </c>
      <c r="E908" t="s">
        <v>2181</v>
      </c>
      <c r="F908" t="s">
        <v>39</v>
      </c>
      <c r="G908" t="s">
        <v>24</v>
      </c>
      <c r="H908">
        <v>1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f t="shared" si="42"/>
        <v>3</v>
      </c>
      <c r="U908">
        <f t="shared" si="43"/>
        <v>0</v>
      </c>
      <c r="V908" t="b">
        <f t="shared" si="44"/>
        <v>0</v>
      </c>
    </row>
    <row r="909" spans="1:22" x14ac:dyDescent="0.3">
      <c r="A909" t="s">
        <v>2182</v>
      </c>
      <c r="B909">
        <v>2018</v>
      </c>
      <c r="C909" t="s">
        <v>710</v>
      </c>
      <c r="D909" t="s">
        <v>29</v>
      </c>
      <c r="E909" t="s">
        <v>2183</v>
      </c>
      <c r="F909" t="s">
        <v>39</v>
      </c>
      <c r="G909" t="s">
        <v>24</v>
      </c>
      <c r="H909">
        <v>0</v>
      </c>
      <c r="I909">
        <v>1</v>
      </c>
      <c r="J909">
        <v>0</v>
      </c>
      <c r="K909">
        <v>0</v>
      </c>
      <c r="L909">
        <v>1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f t="shared" si="42"/>
        <v>3</v>
      </c>
      <c r="U909">
        <f t="shared" si="43"/>
        <v>1</v>
      </c>
      <c r="V909" t="b">
        <f t="shared" si="44"/>
        <v>0</v>
      </c>
    </row>
    <row r="910" spans="1:22" x14ac:dyDescent="0.3">
      <c r="A910" t="s">
        <v>2184</v>
      </c>
      <c r="B910">
        <v>2018</v>
      </c>
      <c r="C910" t="s">
        <v>766</v>
      </c>
      <c r="D910" t="s">
        <v>29</v>
      </c>
      <c r="E910" t="s">
        <v>2185</v>
      </c>
      <c r="F910" t="s">
        <v>31</v>
      </c>
      <c r="G910" t="s">
        <v>24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f t="shared" si="42"/>
        <v>2</v>
      </c>
      <c r="U910">
        <f t="shared" si="43"/>
        <v>0</v>
      </c>
      <c r="V910" t="b">
        <f t="shared" si="44"/>
        <v>0</v>
      </c>
    </row>
    <row r="911" spans="1:22" x14ac:dyDescent="0.3">
      <c r="A911" t="s">
        <v>2186</v>
      </c>
      <c r="B911">
        <v>2018</v>
      </c>
      <c r="C911" t="s">
        <v>2187</v>
      </c>
      <c r="D911" t="s">
        <v>29</v>
      </c>
      <c r="E911" t="s">
        <v>2188</v>
      </c>
      <c r="F911" t="s">
        <v>39</v>
      </c>
      <c r="G911" t="s">
        <v>24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f t="shared" si="42"/>
        <v>2</v>
      </c>
      <c r="U911">
        <f t="shared" si="43"/>
        <v>0</v>
      </c>
      <c r="V911" t="b">
        <f t="shared" si="44"/>
        <v>0</v>
      </c>
    </row>
    <row r="912" spans="1:22" x14ac:dyDescent="0.3">
      <c r="A912" t="s">
        <v>2189</v>
      </c>
      <c r="B912">
        <v>2018</v>
      </c>
      <c r="C912" t="s">
        <v>2190</v>
      </c>
      <c r="D912" t="s">
        <v>21</v>
      </c>
      <c r="E912" t="s">
        <v>2191</v>
      </c>
      <c r="F912" t="s">
        <v>23</v>
      </c>
      <c r="G912" t="s">
        <v>24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f t="shared" si="42"/>
        <v>3</v>
      </c>
      <c r="U912">
        <f t="shared" si="43"/>
        <v>0</v>
      </c>
      <c r="V912" t="b">
        <f t="shared" si="44"/>
        <v>0</v>
      </c>
    </row>
    <row r="913" spans="1:22" x14ac:dyDescent="0.3">
      <c r="A913" t="s">
        <v>2192</v>
      </c>
      <c r="B913">
        <v>2017</v>
      </c>
      <c r="C913" t="s">
        <v>48</v>
      </c>
      <c r="D913" t="s">
        <v>29</v>
      </c>
      <c r="E913" t="s">
        <v>2193</v>
      </c>
      <c r="F913" t="s">
        <v>31</v>
      </c>
      <c r="G913" t="s">
        <v>24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f t="shared" si="42"/>
        <v>3</v>
      </c>
      <c r="U913">
        <f t="shared" si="43"/>
        <v>1</v>
      </c>
      <c r="V913" t="b">
        <f t="shared" si="44"/>
        <v>0</v>
      </c>
    </row>
    <row r="914" spans="1:22" x14ac:dyDescent="0.3">
      <c r="A914" t="s">
        <v>2194</v>
      </c>
      <c r="B914">
        <v>2017</v>
      </c>
      <c r="C914" t="s">
        <v>48</v>
      </c>
      <c r="D914" t="s">
        <v>29</v>
      </c>
      <c r="E914" t="s">
        <v>2195</v>
      </c>
      <c r="F914" t="s">
        <v>31</v>
      </c>
      <c r="G914" t="s">
        <v>24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f t="shared" si="42"/>
        <v>2</v>
      </c>
      <c r="U914">
        <f t="shared" si="43"/>
        <v>0</v>
      </c>
      <c r="V914" t="b">
        <f t="shared" si="44"/>
        <v>0</v>
      </c>
    </row>
    <row r="915" spans="1:22" x14ac:dyDescent="0.3">
      <c r="A915" t="s">
        <v>2196</v>
      </c>
      <c r="B915">
        <v>2017</v>
      </c>
      <c r="C915" t="s">
        <v>28</v>
      </c>
      <c r="D915" t="s">
        <v>29</v>
      </c>
      <c r="E915" t="s">
        <v>2197</v>
      </c>
      <c r="F915" t="s">
        <v>31</v>
      </c>
      <c r="G915" t="s">
        <v>24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f t="shared" si="42"/>
        <v>2</v>
      </c>
      <c r="U915">
        <f t="shared" si="43"/>
        <v>0</v>
      </c>
      <c r="V915" t="b">
        <f t="shared" si="44"/>
        <v>0</v>
      </c>
    </row>
    <row r="916" spans="1:22" x14ac:dyDescent="0.3">
      <c r="A916" t="s">
        <v>2198</v>
      </c>
      <c r="B916">
        <v>2017</v>
      </c>
      <c r="C916" t="s">
        <v>1753</v>
      </c>
      <c r="D916" t="s">
        <v>29</v>
      </c>
      <c r="E916" t="s">
        <v>2199</v>
      </c>
      <c r="F916" t="s">
        <v>31</v>
      </c>
      <c r="G916" t="s">
        <v>24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f t="shared" si="42"/>
        <v>2</v>
      </c>
      <c r="U916">
        <f t="shared" si="43"/>
        <v>0</v>
      </c>
      <c r="V916" t="b">
        <f t="shared" si="44"/>
        <v>0</v>
      </c>
    </row>
    <row r="917" spans="1:22" x14ac:dyDescent="0.3">
      <c r="A917" t="s">
        <v>2200</v>
      </c>
      <c r="B917">
        <v>2017</v>
      </c>
      <c r="C917" t="s">
        <v>2201</v>
      </c>
      <c r="D917" t="s">
        <v>21</v>
      </c>
      <c r="E917" t="s">
        <v>2202</v>
      </c>
      <c r="F917" t="s">
        <v>23</v>
      </c>
      <c r="G917" t="s">
        <v>24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f t="shared" si="42"/>
        <v>3</v>
      </c>
      <c r="U917">
        <f t="shared" si="43"/>
        <v>0</v>
      </c>
      <c r="V917" t="b">
        <f t="shared" si="44"/>
        <v>0</v>
      </c>
    </row>
    <row r="918" spans="1:22" x14ac:dyDescent="0.3">
      <c r="A918" t="s">
        <v>2203</v>
      </c>
      <c r="B918">
        <v>2017</v>
      </c>
      <c r="C918" t="s">
        <v>48</v>
      </c>
      <c r="D918" t="s">
        <v>29</v>
      </c>
      <c r="E918" t="s">
        <v>2204</v>
      </c>
      <c r="F918" t="s">
        <v>31</v>
      </c>
      <c r="G918" t="s">
        <v>24</v>
      </c>
      <c r="H918">
        <v>1</v>
      </c>
      <c r="I918">
        <v>0</v>
      </c>
      <c r="J918">
        <v>1</v>
      </c>
      <c r="K918">
        <v>0</v>
      </c>
      <c r="L918">
        <v>1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f t="shared" si="42"/>
        <v>4</v>
      </c>
      <c r="U918">
        <f t="shared" si="43"/>
        <v>0</v>
      </c>
      <c r="V918" t="b">
        <f t="shared" si="44"/>
        <v>0</v>
      </c>
    </row>
    <row r="919" spans="1:22" x14ac:dyDescent="0.3">
      <c r="A919" t="s">
        <v>2205</v>
      </c>
      <c r="B919">
        <v>2017</v>
      </c>
      <c r="C919" t="s">
        <v>2206</v>
      </c>
      <c r="D919" t="s">
        <v>21</v>
      </c>
      <c r="E919" t="s">
        <v>2207</v>
      </c>
      <c r="F919" t="s">
        <v>35</v>
      </c>
      <c r="G919" t="s">
        <v>24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f t="shared" si="42"/>
        <v>2</v>
      </c>
      <c r="U919">
        <f t="shared" si="43"/>
        <v>0</v>
      </c>
      <c r="V919" t="b">
        <f t="shared" si="44"/>
        <v>0</v>
      </c>
    </row>
    <row r="920" spans="1:22" x14ac:dyDescent="0.3">
      <c r="A920" t="s">
        <v>2208</v>
      </c>
      <c r="B920">
        <v>2017</v>
      </c>
      <c r="C920" t="s">
        <v>2209</v>
      </c>
      <c r="D920" t="s">
        <v>21</v>
      </c>
      <c r="E920" t="s">
        <v>2210</v>
      </c>
      <c r="F920" t="s">
        <v>35</v>
      </c>
      <c r="G920" t="s">
        <v>24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f t="shared" si="42"/>
        <v>2</v>
      </c>
      <c r="U920">
        <f t="shared" si="43"/>
        <v>0</v>
      </c>
      <c r="V920" t="b">
        <f t="shared" si="44"/>
        <v>0</v>
      </c>
    </row>
    <row r="921" spans="1:22" x14ac:dyDescent="0.3">
      <c r="A921" t="s">
        <v>2211</v>
      </c>
      <c r="B921">
        <v>2017</v>
      </c>
      <c r="C921" t="s">
        <v>53</v>
      </c>
      <c r="D921" t="s">
        <v>29</v>
      </c>
      <c r="E921" t="s">
        <v>2212</v>
      </c>
      <c r="F921" t="s">
        <v>31</v>
      </c>
      <c r="G921" t="s">
        <v>24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f t="shared" si="42"/>
        <v>3</v>
      </c>
      <c r="U921">
        <f t="shared" si="43"/>
        <v>0</v>
      </c>
      <c r="V921" t="b">
        <f t="shared" si="44"/>
        <v>0</v>
      </c>
    </row>
    <row r="922" spans="1:22" x14ac:dyDescent="0.3">
      <c r="A922" t="s">
        <v>2213</v>
      </c>
      <c r="B922">
        <v>2017</v>
      </c>
      <c r="C922" t="s">
        <v>2209</v>
      </c>
      <c r="D922" t="s">
        <v>21</v>
      </c>
      <c r="E922" t="s">
        <v>2214</v>
      </c>
      <c r="F922" t="s">
        <v>35</v>
      </c>
      <c r="G922" t="s">
        <v>24</v>
      </c>
      <c r="H922">
        <v>0</v>
      </c>
      <c r="I922">
        <v>1</v>
      </c>
      <c r="J922">
        <v>0</v>
      </c>
      <c r="K922">
        <v>0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f t="shared" si="42"/>
        <v>3</v>
      </c>
      <c r="U922">
        <f t="shared" si="43"/>
        <v>1</v>
      </c>
      <c r="V922" t="b">
        <f t="shared" si="44"/>
        <v>0</v>
      </c>
    </row>
    <row r="923" spans="1:22" x14ac:dyDescent="0.3">
      <c r="A923" t="s">
        <v>2215</v>
      </c>
      <c r="B923">
        <v>2017</v>
      </c>
      <c r="C923" t="s">
        <v>2216</v>
      </c>
      <c r="D923" t="s">
        <v>21</v>
      </c>
      <c r="E923" t="s">
        <v>2217</v>
      </c>
      <c r="F923" t="s">
        <v>23</v>
      </c>
      <c r="G923" t="s">
        <v>24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f t="shared" si="42"/>
        <v>3</v>
      </c>
      <c r="U923">
        <f t="shared" si="43"/>
        <v>0</v>
      </c>
      <c r="V923" t="b">
        <f t="shared" si="44"/>
        <v>0</v>
      </c>
    </row>
    <row r="924" spans="1:22" x14ac:dyDescent="0.3">
      <c r="A924" t="s">
        <v>2218</v>
      </c>
      <c r="B924">
        <v>2017</v>
      </c>
      <c r="C924" t="s">
        <v>2216</v>
      </c>
      <c r="D924" t="s">
        <v>21</v>
      </c>
      <c r="E924" t="s">
        <v>2219</v>
      </c>
      <c r="F924" t="s">
        <v>23</v>
      </c>
      <c r="G924" t="s">
        <v>24</v>
      </c>
      <c r="H924">
        <v>1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f t="shared" si="42"/>
        <v>3</v>
      </c>
      <c r="U924">
        <f t="shared" si="43"/>
        <v>0</v>
      </c>
      <c r="V924" t="b">
        <f t="shared" si="44"/>
        <v>0</v>
      </c>
    </row>
    <row r="925" spans="1:22" x14ac:dyDescent="0.3">
      <c r="A925" t="s">
        <v>2220</v>
      </c>
      <c r="B925">
        <v>2017</v>
      </c>
      <c r="C925" t="s">
        <v>2221</v>
      </c>
      <c r="D925" t="s">
        <v>323</v>
      </c>
      <c r="E925" t="s">
        <v>2222</v>
      </c>
      <c r="F925" t="s">
        <v>23</v>
      </c>
      <c r="G925" t="s">
        <v>24</v>
      </c>
      <c r="H925">
        <v>1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f t="shared" si="42"/>
        <v>3</v>
      </c>
      <c r="U925">
        <f t="shared" si="43"/>
        <v>0</v>
      </c>
      <c r="V925" t="b">
        <f t="shared" si="44"/>
        <v>0</v>
      </c>
    </row>
    <row r="926" spans="1:22" x14ac:dyDescent="0.3">
      <c r="A926" t="s">
        <v>2223</v>
      </c>
      <c r="B926">
        <v>2017</v>
      </c>
      <c r="C926" t="s">
        <v>2224</v>
      </c>
      <c r="D926" t="s">
        <v>21</v>
      </c>
      <c r="E926" t="s">
        <v>2225</v>
      </c>
      <c r="F926" t="s">
        <v>23</v>
      </c>
      <c r="G926" t="s">
        <v>24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f t="shared" si="42"/>
        <v>2</v>
      </c>
      <c r="U926">
        <f t="shared" si="43"/>
        <v>0</v>
      </c>
      <c r="V926" t="b">
        <f t="shared" si="44"/>
        <v>0</v>
      </c>
    </row>
    <row r="927" spans="1:22" x14ac:dyDescent="0.3">
      <c r="A927" t="s">
        <v>2226</v>
      </c>
      <c r="B927">
        <v>2017</v>
      </c>
      <c r="C927" t="s">
        <v>133</v>
      </c>
      <c r="D927" t="s">
        <v>29</v>
      </c>
      <c r="E927" t="s">
        <v>2227</v>
      </c>
      <c r="F927" t="s">
        <v>39</v>
      </c>
      <c r="G927" t="s">
        <v>24</v>
      </c>
      <c r="H927">
        <v>1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f t="shared" si="42"/>
        <v>3</v>
      </c>
      <c r="U927">
        <f t="shared" si="43"/>
        <v>0</v>
      </c>
      <c r="V927" t="b">
        <f t="shared" si="44"/>
        <v>0</v>
      </c>
    </row>
    <row r="928" spans="1:22" x14ac:dyDescent="0.3">
      <c r="A928" t="s">
        <v>2228</v>
      </c>
      <c r="B928">
        <v>2017</v>
      </c>
      <c r="C928" t="s">
        <v>129</v>
      </c>
      <c r="D928" t="s">
        <v>29</v>
      </c>
      <c r="E928" t="s">
        <v>2229</v>
      </c>
      <c r="F928" t="s">
        <v>39</v>
      </c>
      <c r="G928" t="s">
        <v>24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f t="shared" si="42"/>
        <v>3</v>
      </c>
      <c r="U928">
        <f t="shared" si="43"/>
        <v>0</v>
      </c>
      <c r="V928" t="b">
        <f t="shared" si="44"/>
        <v>0</v>
      </c>
    </row>
    <row r="929" spans="1:22" x14ac:dyDescent="0.3">
      <c r="A929" t="s">
        <v>2230</v>
      </c>
      <c r="B929">
        <v>2017</v>
      </c>
      <c r="C929" t="s">
        <v>756</v>
      </c>
      <c r="D929" t="s">
        <v>29</v>
      </c>
      <c r="E929" t="s">
        <v>2231</v>
      </c>
      <c r="F929" t="s">
        <v>31</v>
      </c>
      <c r="G929" t="s">
        <v>24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f t="shared" si="42"/>
        <v>2</v>
      </c>
      <c r="U929">
        <f t="shared" si="43"/>
        <v>0</v>
      </c>
      <c r="V929" t="b">
        <f t="shared" si="44"/>
        <v>0</v>
      </c>
    </row>
    <row r="930" spans="1:22" x14ac:dyDescent="0.3">
      <c r="A930" t="s">
        <v>2232</v>
      </c>
      <c r="B930">
        <v>2017</v>
      </c>
      <c r="C930" t="s">
        <v>203</v>
      </c>
      <c r="D930" t="s">
        <v>29</v>
      </c>
      <c r="E930" t="s">
        <v>2233</v>
      </c>
      <c r="F930" t="s">
        <v>31</v>
      </c>
      <c r="G930" t="s">
        <v>24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f t="shared" si="42"/>
        <v>2</v>
      </c>
      <c r="U930">
        <f t="shared" si="43"/>
        <v>0</v>
      </c>
      <c r="V930" t="b">
        <f t="shared" si="44"/>
        <v>0</v>
      </c>
    </row>
    <row r="931" spans="1:22" x14ac:dyDescent="0.3">
      <c r="A931" t="s">
        <v>2234</v>
      </c>
      <c r="B931">
        <v>2017</v>
      </c>
      <c r="C931" t="s">
        <v>828</v>
      </c>
      <c r="D931" t="s">
        <v>29</v>
      </c>
      <c r="E931" t="s">
        <v>2235</v>
      </c>
      <c r="F931" t="s">
        <v>39</v>
      </c>
      <c r="G931" t="s">
        <v>24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f t="shared" si="42"/>
        <v>2</v>
      </c>
      <c r="U931">
        <f t="shared" si="43"/>
        <v>0</v>
      </c>
      <c r="V931" t="b">
        <f t="shared" si="44"/>
        <v>0</v>
      </c>
    </row>
    <row r="932" spans="1:22" x14ac:dyDescent="0.3">
      <c r="A932" t="s">
        <v>2236</v>
      </c>
      <c r="B932">
        <v>2017</v>
      </c>
      <c r="C932" t="s">
        <v>2237</v>
      </c>
      <c r="D932" t="s">
        <v>21</v>
      </c>
      <c r="E932" t="s">
        <v>2238</v>
      </c>
      <c r="F932" t="s">
        <v>35</v>
      </c>
      <c r="G932" t="s">
        <v>24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f t="shared" si="42"/>
        <v>2</v>
      </c>
      <c r="U932">
        <f t="shared" si="43"/>
        <v>0</v>
      </c>
      <c r="V932" t="b">
        <f t="shared" si="44"/>
        <v>0</v>
      </c>
    </row>
    <row r="933" spans="1:22" x14ac:dyDescent="0.3">
      <c r="A933" t="s">
        <v>2239</v>
      </c>
      <c r="B933">
        <v>2016</v>
      </c>
      <c r="C933" t="s">
        <v>2240</v>
      </c>
      <c r="D933" t="s">
        <v>21</v>
      </c>
      <c r="E933" t="s">
        <v>2241</v>
      </c>
      <c r="F933" t="s">
        <v>23</v>
      </c>
      <c r="G933" t="s">
        <v>24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f t="shared" si="42"/>
        <v>4</v>
      </c>
      <c r="U933">
        <f t="shared" si="43"/>
        <v>0</v>
      </c>
      <c r="V933" t="b">
        <f t="shared" si="44"/>
        <v>0</v>
      </c>
    </row>
    <row r="934" spans="1:22" x14ac:dyDescent="0.3">
      <c r="A934" t="s">
        <v>2242</v>
      </c>
      <c r="B934">
        <v>2016</v>
      </c>
      <c r="C934" t="s">
        <v>2243</v>
      </c>
      <c r="D934" t="s">
        <v>21</v>
      </c>
      <c r="E934" t="s">
        <v>2244</v>
      </c>
      <c r="F934" t="s">
        <v>23</v>
      </c>
      <c r="G934" t="s">
        <v>24</v>
      </c>
      <c r="H934">
        <v>1</v>
      </c>
      <c r="I934">
        <v>0</v>
      </c>
      <c r="J934">
        <v>1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f t="shared" si="42"/>
        <v>4</v>
      </c>
      <c r="U934">
        <f t="shared" si="43"/>
        <v>0</v>
      </c>
      <c r="V934" t="b">
        <f t="shared" si="44"/>
        <v>0</v>
      </c>
    </row>
    <row r="935" spans="1:22" x14ac:dyDescent="0.3">
      <c r="A935" t="s">
        <v>2245</v>
      </c>
      <c r="B935">
        <v>2016</v>
      </c>
      <c r="C935" t="s">
        <v>2246</v>
      </c>
      <c r="D935" t="s">
        <v>21</v>
      </c>
      <c r="E935" t="s">
        <v>2247</v>
      </c>
      <c r="F935" t="s">
        <v>35</v>
      </c>
      <c r="G935" t="s">
        <v>24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f t="shared" si="42"/>
        <v>3</v>
      </c>
      <c r="U935">
        <f t="shared" si="43"/>
        <v>1</v>
      </c>
      <c r="V935" t="b">
        <f t="shared" si="44"/>
        <v>0</v>
      </c>
    </row>
    <row r="936" spans="1:22" x14ac:dyDescent="0.3">
      <c r="A936" t="s">
        <v>2248</v>
      </c>
      <c r="B936">
        <v>2016</v>
      </c>
      <c r="C936" t="s">
        <v>2249</v>
      </c>
      <c r="D936" t="s">
        <v>21</v>
      </c>
      <c r="E936" t="s">
        <v>2250</v>
      </c>
      <c r="F936" t="s">
        <v>35</v>
      </c>
      <c r="G936" t="s">
        <v>24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f t="shared" si="42"/>
        <v>2</v>
      </c>
      <c r="U936">
        <f t="shared" si="43"/>
        <v>0</v>
      </c>
      <c r="V936" t="b">
        <f t="shared" si="44"/>
        <v>0</v>
      </c>
    </row>
    <row r="937" spans="1:22" x14ac:dyDescent="0.3">
      <c r="A937" t="s">
        <v>2251</v>
      </c>
      <c r="B937">
        <v>2016</v>
      </c>
      <c r="C937" t="s">
        <v>2252</v>
      </c>
      <c r="D937" t="s">
        <v>21</v>
      </c>
      <c r="E937" t="s">
        <v>2253</v>
      </c>
      <c r="F937" t="s">
        <v>35</v>
      </c>
      <c r="G937" t="s">
        <v>24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f t="shared" si="42"/>
        <v>2</v>
      </c>
      <c r="U937">
        <f t="shared" si="43"/>
        <v>0</v>
      </c>
      <c r="V937" t="b">
        <f t="shared" si="44"/>
        <v>0</v>
      </c>
    </row>
    <row r="938" spans="1:22" x14ac:dyDescent="0.3">
      <c r="A938" t="s">
        <v>2254</v>
      </c>
      <c r="B938">
        <v>2016</v>
      </c>
      <c r="C938" t="s">
        <v>53</v>
      </c>
      <c r="D938" t="s">
        <v>29</v>
      </c>
      <c r="E938" t="s">
        <v>2255</v>
      </c>
      <c r="F938" t="s">
        <v>31</v>
      </c>
      <c r="G938" t="s">
        <v>24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f t="shared" si="42"/>
        <v>2</v>
      </c>
      <c r="U938">
        <f t="shared" si="43"/>
        <v>0</v>
      </c>
      <c r="V938" t="b">
        <f t="shared" si="44"/>
        <v>0</v>
      </c>
    </row>
    <row r="939" spans="1:22" x14ac:dyDescent="0.3">
      <c r="A939" t="s">
        <v>2256</v>
      </c>
      <c r="B939">
        <v>2016</v>
      </c>
      <c r="C939" t="s">
        <v>2249</v>
      </c>
      <c r="D939" t="s">
        <v>21</v>
      </c>
      <c r="E939" t="s">
        <v>2257</v>
      </c>
      <c r="F939" t="s">
        <v>35</v>
      </c>
      <c r="G939" t="s">
        <v>24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f t="shared" si="42"/>
        <v>2</v>
      </c>
      <c r="U939">
        <f t="shared" si="43"/>
        <v>0</v>
      </c>
      <c r="V939" t="b">
        <f t="shared" si="44"/>
        <v>0</v>
      </c>
    </row>
    <row r="940" spans="1:22" x14ac:dyDescent="0.3">
      <c r="A940" t="s">
        <v>2258</v>
      </c>
      <c r="B940">
        <v>2016</v>
      </c>
      <c r="C940" t="s">
        <v>2259</v>
      </c>
      <c r="D940" t="s">
        <v>21</v>
      </c>
      <c r="E940" t="s">
        <v>2260</v>
      </c>
      <c r="F940" t="s">
        <v>23</v>
      </c>
      <c r="G940" t="s">
        <v>24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f t="shared" si="42"/>
        <v>2</v>
      </c>
      <c r="U940">
        <f t="shared" si="43"/>
        <v>0</v>
      </c>
      <c r="V940" t="b">
        <f t="shared" si="44"/>
        <v>0</v>
      </c>
    </row>
    <row r="941" spans="1:22" x14ac:dyDescent="0.3">
      <c r="A941" t="s">
        <v>2261</v>
      </c>
      <c r="B941">
        <v>2016</v>
      </c>
      <c r="C941" t="s">
        <v>799</v>
      </c>
      <c r="D941" t="s">
        <v>29</v>
      </c>
      <c r="E941" t="s">
        <v>2262</v>
      </c>
      <c r="F941" t="s">
        <v>31</v>
      </c>
      <c r="G941" t="s">
        <v>24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f t="shared" si="42"/>
        <v>2</v>
      </c>
      <c r="U941">
        <f t="shared" si="43"/>
        <v>0</v>
      </c>
      <c r="V941" t="b">
        <f t="shared" si="44"/>
        <v>0</v>
      </c>
    </row>
    <row r="942" spans="1:22" x14ac:dyDescent="0.3">
      <c r="A942" t="s">
        <v>2263</v>
      </c>
      <c r="B942">
        <v>2025</v>
      </c>
      <c r="C942" t="s">
        <v>2264</v>
      </c>
      <c r="D942" t="s">
        <v>21</v>
      </c>
      <c r="E942" t="s">
        <v>2265</v>
      </c>
      <c r="F942" t="s">
        <v>23</v>
      </c>
      <c r="G942" t="s">
        <v>24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f t="shared" si="42"/>
        <v>2</v>
      </c>
      <c r="U942">
        <f t="shared" si="43"/>
        <v>1</v>
      </c>
      <c r="V942" t="b">
        <f t="shared" si="44"/>
        <v>0</v>
      </c>
    </row>
    <row r="943" spans="1:22" x14ac:dyDescent="0.3">
      <c r="A943" t="s">
        <v>2266</v>
      </c>
      <c r="B943">
        <v>2024</v>
      </c>
      <c r="C943" t="s">
        <v>841</v>
      </c>
      <c r="D943" t="s">
        <v>21</v>
      </c>
      <c r="E943" t="s">
        <v>2267</v>
      </c>
      <c r="F943" t="s">
        <v>23</v>
      </c>
      <c r="G943" t="s">
        <v>24</v>
      </c>
      <c r="H943">
        <v>1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f t="shared" si="42"/>
        <v>3</v>
      </c>
      <c r="U943">
        <f t="shared" si="43"/>
        <v>0</v>
      </c>
      <c r="V943" t="b">
        <f t="shared" si="44"/>
        <v>0</v>
      </c>
    </row>
    <row r="944" spans="1:22" x14ac:dyDescent="0.3">
      <c r="A944" t="s">
        <v>2268</v>
      </c>
      <c r="B944">
        <v>2024</v>
      </c>
      <c r="C944" t="s">
        <v>2269</v>
      </c>
      <c r="D944" t="s">
        <v>323</v>
      </c>
      <c r="E944" t="s">
        <v>2270</v>
      </c>
      <c r="F944" t="s">
        <v>35</v>
      </c>
      <c r="G944" t="s">
        <v>24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f t="shared" si="42"/>
        <v>6</v>
      </c>
      <c r="U944">
        <f t="shared" si="43"/>
        <v>0</v>
      </c>
      <c r="V944" t="b">
        <f t="shared" si="44"/>
        <v>1</v>
      </c>
    </row>
    <row r="945" spans="1:22" x14ac:dyDescent="0.3">
      <c r="A945" t="s">
        <v>2271</v>
      </c>
      <c r="B945">
        <v>2024</v>
      </c>
      <c r="C945" t="s">
        <v>2272</v>
      </c>
      <c r="D945" t="s">
        <v>323</v>
      </c>
      <c r="F945" t="s">
        <v>35</v>
      </c>
      <c r="G945" t="s">
        <v>24</v>
      </c>
      <c r="H945">
        <v>1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f t="shared" si="42"/>
        <v>5</v>
      </c>
      <c r="U945">
        <f t="shared" si="43"/>
        <v>0</v>
      </c>
      <c r="V945" t="b">
        <f t="shared" si="44"/>
        <v>1</v>
      </c>
    </row>
    <row r="946" spans="1:22" x14ac:dyDescent="0.3">
      <c r="A946" t="s">
        <v>2273</v>
      </c>
      <c r="B946">
        <v>2022</v>
      </c>
      <c r="C946" t="s">
        <v>2274</v>
      </c>
      <c r="D946" t="s">
        <v>21</v>
      </c>
      <c r="E946" t="s">
        <v>2275</v>
      </c>
      <c r="F946" t="s">
        <v>23</v>
      </c>
      <c r="G946" t="s">
        <v>24</v>
      </c>
      <c r="H946">
        <v>1</v>
      </c>
      <c r="I946">
        <v>1</v>
      </c>
      <c r="J946">
        <v>0</v>
      </c>
      <c r="K946">
        <v>1</v>
      </c>
      <c r="L946">
        <v>1</v>
      </c>
      <c r="M946">
        <v>1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f t="shared" si="42"/>
        <v>5</v>
      </c>
      <c r="U946">
        <f t="shared" si="43"/>
        <v>1</v>
      </c>
      <c r="V946" t="b">
        <f t="shared" si="44"/>
        <v>1</v>
      </c>
    </row>
    <row r="947" spans="1:22" x14ac:dyDescent="0.3">
      <c r="A947" t="s">
        <v>2276</v>
      </c>
      <c r="B947">
        <v>2022</v>
      </c>
      <c r="C947" t="s">
        <v>2274</v>
      </c>
      <c r="D947" t="s">
        <v>21</v>
      </c>
      <c r="E947" t="s">
        <v>1511</v>
      </c>
      <c r="F947" t="s">
        <v>23</v>
      </c>
      <c r="G947" t="s">
        <v>24</v>
      </c>
      <c r="H947">
        <v>1</v>
      </c>
      <c r="I947">
        <v>1</v>
      </c>
      <c r="J947">
        <v>0</v>
      </c>
      <c r="K947">
        <v>1</v>
      </c>
      <c r="L947">
        <v>1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f t="shared" si="42"/>
        <v>5</v>
      </c>
      <c r="U947">
        <f t="shared" si="43"/>
        <v>0</v>
      </c>
      <c r="V947" t="b">
        <f t="shared" si="44"/>
        <v>1</v>
      </c>
    </row>
    <row r="948" spans="1:22" x14ac:dyDescent="0.3">
      <c r="A948" t="s">
        <v>2277</v>
      </c>
      <c r="B948">
        <v>2022</v>
      </c>
      <c r="C948" t="s">
        <v>2278</v>
      </c>
      <c r="D948" t="s">
        <v>21</v>
      </c>
      <c r="E948" t="s">
        <v>1542</v>
      </c>
      <c r="F948" t="s">
        <v>35</v>
      </c>
      <c r="G948" t="s">
        <v>24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f t="shared" si="42"/>
        <v>3</v>
      </c>
      <c r="U948">
        <f t="shared" si="43"/>
        <v>0</v>
      </c>
      <c r="V948" t="b">
        <f t="shared" si="44"/>
        <v>0</v>
      </c>
    </row>
    <row r="949" spans="1:22" x14ac:dyDescent="0.3">
      <c r="A949" t="s">
        <v>2279</v>
      </c>
      <c r="B949">
        <v>2022</v>
      </c>
      <c r="C949" t="s">
        <v>2274</v>
      </c>
      <c r="D949" t="s">
        <v>21</v>
      </c>
      <c r="E949" t="s">
        <v>2280</v>
      </c>
      <c r="F949" t="s">
        <v>23</v>
      </c>
      <c r="G949" t="s">
        <v>24</v>
      </c>
      <c r="H949">
        <v>1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f t="shared" si="42"/>
        <v>3</v>
      </c>
      <c r="U949">
        <f t="shared" si="43"/>
        <v>1</v>
      </c>
      <c r="V949" t="b">
        <f t="shared" si="44"/>
        <v>0</v>
      </c>
    </row>
    <row r="950" spans="1:22" x14ac:dyDescent="0.3">
      <c r="A950" t="s">
        <v>2281</v>
      </c>
      <c r="B950">
        <v>2021</v>
      </c>
      <c r="C950" t="s">
        <v>2282</v>
      </c>
      <c r="D950" t="s">
        <v>21</v>
      </c>
      <c r="E950" t="s">
        <v>1733</v>
      </c>
      <c r="F950" t="s">
        <v>23</v>
      </c>
      <c r="G950" t="s">
        <v>24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f t="shared" si="42"/>
        <v>6</v>
      </c>
      <c r="U950">
        <f t="shared" si="43"/>
        <v>0</v>
      </c>
      <c r="V950" t="b">
        <f t="shared" si="44"/>
        <v>1</v>
      </c>
    </row>
    <row r="951" spans="1:22" x14ac:dyDescent="0.3">
      <c r="A951" t="s">
        <v>2283</v>
      </c>
      <c r="B951">
        <v>2020</v>
      </c>
      <c r="C951" t="s">
        <v>2284</v>
      </c>
      <c r="D951" t="s">
        <v>21</v>
      </c>
      <c r="E951" t="s">
        <v>2285</v>
      </c>
      <c r="F951" t="s">
        <v>35</v>
      </c>
      <c r="G951" t="s">
        <v>24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f t="shared" si="42"/>
        <v>4</v>
      </c>
      <c r="U951">
        <f t="shared" si="43"/>
        <v>0</v>
      </c>
      <c r="V951" t="b">
        <f t="shared" si="44"/>
        <v>0</v>
      </c>
    </row>
    <row r="952" spans="1:22" x14ac:dyDescent="0.3">
      <c r="A952" t="s">
        <v>2286</v>
      </c>
      <c r="B952">
        <v>2020</v>
      </c>
      <c r="C952" t="s">
        <v>2284</v>
      </c>
      <c r="D952" t="s">
        <v>21</v>
      </c>
      <c r="E952" t="s">
        <v>2287</v>
      </c>
      <c r="F952" t="s">
        <v>35</v>
      </c>
      <c r="G952" t="s">
        <v>24</v>
      </c>
      <c r="H952">
        <v>1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f t="shared" si="42"/>
        <v>3</v>
      </c>
      <c r="U952">
        <f t="shared" si="43"/>
        <v>1</v>
      </c>
      <c r="V952" t="b">
        <f t="shared" si="44"/>
        <v>0</v>
      </c>
    </row>
    <row r="953" spans="1:22" x14ac:dyDescent="0.3">
      <c r="A953" t="s">
        <v>2288</v>
      </c>
      <c r="B953">
        <v>2020</v>
      </c>
      <c r="C953" t="s">
        <v>2289</v>
      </c>
      <c r="D953" t="s">
        <v>21</v>
      </c>
      <c r="E953" t="s">
        <v>1920</v>
      </c>
      <c r="F953" t="s">
        <v>23</v>
      </c>
      <c r="G953" t="s">
        <v>24</v>
      </c>
      <c r="H953">
        <v>1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f t="shared" si="42"/>
        <v>3</v>
      </c>
      <c r="U953">
        <f t="shared" si="43"/>
        <v>0</v>
      </c>
      <c r="V953" t="b">
        <f t="shared" si="44"/>
        <v>0</v>
      </c>
    </row>
    <row r="954" spans="1:22" x14ac:dyDescent="0.3">
      <c r="A954" t="s">
        <v>2290</v>
      </c>
      <c r="B954">
        <v>2020</v>
      </c>
      <c r="C954" t="s">
        <v>2289</v>
      </c>
      <c r="D954" t="s">
        <v>21</v>
      </c>
      <c r="E954" t="s">
        <v>2291</v>
      </c>
      <c r="F954" t="s">
        <v>23</v>
      </c>
      <c r="G954" t="s">
        <v>24</v>
      </c>
      <c r="H954">
        <v>1</v>
      </c>
      <c r="I954">
        <v>1</v>
      </c>
      <c r="J954">
        <v>0</v>
      </c>
      <c r="K954">
        <v>1</v>
      </c>
      <c r="L954">
        <v>1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f t="shared" si="42"/>
        <v>5</v>
      </c>
      <c r="U954">
        <f t="shared" si="43"/>
        <v>1</v>
      </c>
      <c r="V954" t="b">
        <f t="shared" si="44"/>
        <v>1</v>
      </c>
    </row>
    <row r="955" spans="1:22" x14ac:dyDescent="0.3">
      <c r="A955" t="s">
        <v>2292</v>
      </c>
      <c r="B955">
        <v>2019</v>
      </c>
      <c r="C955" t="s">
        <v>2293</v>
      </c>
      <c r="D955" t="s">
        <v>21</v>
      </c>
      <c r="E955" t="s">
        <v>2294</v>
      </c>
      <c r="F955" t="s">
        <v>35</v>
      </c>
      <c r="G955" t="s">
        <v>24</v>
      </c>
      <c r="H955">
        <v>1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f t="shared" si="42"/>
        <v>3</v>
      </c>
      <c r="U955">
        <f t="shared" si="43"/>
        <v>0</v>
      </c>
      <c r="V955" t="b">
        <f t="shared" si="44"/>
        <v>0</v>
      </c>
    </row>
    <row r="956" spans="1:22" x14ac:dyDescent="0.3">
      <c r="A956" t="s">
        <v>2295</v>
      </c>
      <c r="B956">
        <v>2018</v>
      </c>
      <c r="C956" t="s">
        <v>2296</v>
      </c>
      <c r="D956" t="s">
        <v>21</v>
      </c>
      <c r="E956" t="s">
        <v>2297</v>
      </c>
      <c r="F956" t="s">
        <v>23</v>
      </c>
      <c r="G956" t="s">
        <v>24</v>
      </c>
      <c r="H956">
        <v>1</v>
      </c>
      <c r="I956">
        <v>0</v>
      </c>
      <c r="J956">
        <v>1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f t="shared" si="42"/>
        <v>4</v>
      </c>
      <c r="U956">
        <f t="shared" si="43"/>
        <v>0</v>
      </c>
      <c r="V956" t="b">
        <f t="shared" si="44"/>
        <v>0</v>
      </c>
    </row>
    <row r="957" spans="1:22" x14ac:dyDescent="0.3">
      <c r="A957" t="s">
        <v>2298</v>
      </c>
      <c r="B957">
        <v>2018</v>
      </c>
      <c r="C957" t="s">
        <v>2299</v>
      </c>
      <c r="D957" t="s">
        <v>21</v>
      </c>
      <c r="E957" t="s">
        <v>2300</v>
      </c>
      <c r="F957" t="s">
        <v>23</v>
      </c>
      <c r="G957" t="s">
        <v>24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f t="shared" si="42"/>
        <v>3</v>
      </c>
      <c r="U957">
        <f t="shared" si="43"/>
        <v>1</v>
      </c>
      <c r="V957" t="b">
        <f t="shared" si="44"/>
        <v>0</v>
      </c>
    </row>
    <row r="958" spans="1:22" x14ac:dyDescent="0.3">
      <c r="A958" t="s">
        <v>2301</v>
      </c>
      <c r="B958">
        <v>2018</v>
      </c>
      <c r="C958" t="s">
        <v>2302</v>
      </c>
      <c r="D958" t="s">
        <v>21</v>
      </c>
      <c r="E958" t="s">
        <v>2303</v>
      </c>
      <c r="F958" t="s">
        <v>23</v>
      </c>
      <c r="G958" t="s">
        <v>24</v>
      </c>
      <c r="H958">
        <v>1</v>
      </c>
      <c r="I958">
        <v>1</v>
      </c>
      <c r="J958">
        <v>0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f t="shared" si="42"/>
        <v>5</v>
      </c>
      <c r="U958">
        <f t="shared" si="43"/>
        <v>0</v>
      </c>
      <c r="V958" t="b">
        <f t="shared" si="44"/>
        <v>1</v>
      </c>
    </row>
    <row r="959" spans="1:22" x14ac:dyDescent="0.3">
      <c r="A959" t="s">
        <v>2304</v>
      </c>
      <c r="B959">
        <v>2018</v>
      </c>
      <c r="C959" t="s">
        <v>272</v>
      </c>
      <c r="D959" t="s">
        <v>21</v>
      </c>
      <c r="E959" t="s">
        <v>2305</v>
      </c>
      <c r="F959" t="s">
        <v>23</v>
      </c>
      <c r="G959" t="s">
        <v>24</v>
      </c>
      <c r="H959">
        <v>1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f t="shared" si="42"/>
        <v>3</v>
      </c>
      <c r="U959">
        <f t="shared" si="43"/>
        <v>0</v>
      </c>
      <c r="V959" t="b">
        <f t="shared" si="44"/>
        <v>0</v>
      </c>
    </row>
    <row r="960" spans="1:22" x14ac:dyDescent="0.3">
      <c r="A960" t="s">
        <v>2306</v>
      </c>
      <c r="B960">
        <v>2018</v>
      </c>
      <c r="C960" t="s">
        <v>2302</v>
      </c>
      <c r="D960" t="s">
        <v>21</v>
      </c>
      <c r="E960" t="s">
        <v>2307</v>
      </c>
      <c r="F960" t="s">
        <v>23</v>
      </c>
      <c r="G960" t="s">
        <v>24</v>
      </c>
      <c r="H960">
        <v>1</v>
      </c>
      <c r="I960">
        <v>1</v>
      </c>
      <c r="J960">
        <v>0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f t="shared" si="42"/>
        <v>5</v>
      </c>
      <c r="U960">
        <f t="shared" si="43"/>
        <v>0</v>
      </c>
      <c r="V960" t="b">
        <f t="shared" si="44"/>
        <v>1</v>
      </c>
    </row>
    <row r="961" spans="1:22" x14ac:dyDescent="0.3">
      <c r="A961" t="s">
        <v>2308</v>
      </c>
      <c r="B961">
        <v>2018</v>
      </c>
      <c r="C961" t="s">
        <v>2299</v>
      </c>
      <c r="D961" t="s">
        <v>21</v>
      </c>
      <c r="E961" t="s">
        <v>2309</v>
      </c>
      <c r="F961" t="s">
        <v>23</v>
      </c>
      <c r="G961" t="s">
        <v>24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f t="shared" si="42"/>
        <v>2</v>
      </c>
      <c r="U961">
        <f t="shared" si="43"/>
        <v>1</v>
      </c>
      <c r="V961" t="b">
        <f t="shared" si="44"/>
        <v>0</v>
      </c>
    </row>
    <row r="962" spans="1:22" x14ac:dyDescent="0.3">
      <c r="A962" t="s">
        <v>2310</v>
      </c>
      <c r="B962">
        <v>2017</v>
      </c>
      <c r="C962" t="s">
        <v>2311</v>
      </c>
      <c r="D962" t="s">
        <v>21</v>
      </c>
      <c r="E962" t="s">
        <v>2312</v>
      </c>
      <c r="F962" t="s">
        <v>23</v>
      </c>
      <c r="G962" t="s">
        <v>24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f t="shared" si="42"/>
        <v>2</v>
      </c>
      <c r="U962">
        <f t="shared" si="43"/>
        <v>1</v>
      </c>
      <c r="V962" t="b">
        <f t="shared" si="44"/>
        <v>0</v>
      </c>
    </row>
    <row r="963" spans="1:22" x14ac:dyDescent="0.3">
      <c r="A963" t="s">
        <v>2313</v>
      </c>
      <c r="B963">
        <v>2017</v>
      </c>
      <c r="C963" t="s">
        <v>2311</v>
      </c>
      <c r="D963" t="s">
        <v>21</v>
      </c>
      <c r="E963" t="s">
        <v>2314</v>
      </c>
      <c r="F963" t="s">
        <v>23</v>
      </c>
      <c r="G963" t="s">
        <v>24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f t="shared" ref="T963:T1026" si="45">SUM(H963:M963)</f>
        <v>2</v>
      </c>
      <c r="U963">
        <f t="shared" ref="U963:U1026" si="46">SUM(N963:R963)</f>
        <v>1</v>
      </c>
      <c r="V963" t="b">
        <f t="shared" ref="V963:V1026" si="47">T963&gt;4</f>
        <v>0</v>
      </c>
    </row>
    <row r="964" spans="1:22" x14ac:dyDescent="0.3">
      <c r="A964" t="s">
        <v>2315</v>
      </c>
      <c r="B964">
        <v>2016</v>
      </c>
      <c r="C964" t="s">
        <v>2316</v>
      </c>
      <c r="D964" t="s">
        <v>21</v>
      </c>
      <c r="E964" t="s">
        <v>2317</v>
      </c>
      <c r="F964" t="s">
        <v>35</v>
      </c>
      <c r="G964" t="s">
        <v>24</v>
      </c>
      <c r="H964">
        <v>0</v>
      </c>
      <c r="I964">
        <v>1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f t="shared" si="45"/>
        <v>3</v>
      </c>
      <c r="U964">
        <f t="shared" si="46"/>
        <v>1</v>
      </c>
      <c r="V964" t="b">
        <f t="shared" si="47"/>
        <v>0</v>
      </c>
    </row>
    <row r="965" spans="1:22" x14ac:dyDescent="0.3">
      <c r="A965" t="s">
        <v>2318</v>
      </c>
      <c r="B965">
        <v>2025</v>
      </c>
      <c r="C965" t="s">
        <v>275</v>
      </c>
      <c r="D965" t="s">
        <v>2319</v>
      </c>
      <c r="E965" t="s">
        <v>2320</v>
      </c>
      <c r="F965" t="s">
        <v>23</v>
      </c>
      <c r="G965" t="s">
        <v>2321</v>
      </c>
      <c r="H965">
        <v>1</v>
      </c>
      <c r="I965">
        <v>1</v>
      </c>
      <c r="J965">
        <v>0</v>
      </c>
      <c r="K965">
        <v>1</v>
      </c>
      <c r="L965">
        <v>0</v>
      </c>
      <c r="M965">
        <v>1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f t="shared" si="45"/>
        <v>4</v>
      </c>
      <c r="U965">
        <f t="shared" si="46"/>
        <v>2</v>
      </c>
      <c r="V965" t="b">
        <f t="shared" si="47"/>
        <v>0</v>
      </c>
    </row>
    <row r="966" spans="1:22" x14ac:dyDescent="0.3">
      <c r="A966" t="s">
        <v>2322</v>
      </c>
      <c r="B966">
        <v>2025</v>
      </c>
      <c r="C966" t="s">
        <v>275</v>
      </c>
      <c r="D966" t="s">
        <v>2319</v>
      </c>
      <c r="E966" t="s">
        <v>2323</v>
      </c>
      <c r="F966" t="s">
        <v>23</v>
      </c>
      <c r="G966" t="s">
        <v>2321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f t="shared" si="45"/>
        <v>2</v>
      </c>
      <c r="U966">
        <f t="shared" si="46"/>
        <v>1</v>
      </c>
      <c r="V966" t="b">
        <f t="shared" si="47"/>
        <v>0</v>
      </c>
    </row>
    <row r="967" spans="1:22" x14ac:dyDescent="0.3">
      <c r="A967" t="s">
        <v>2324</v>
      </c>
      <c r="B967">
        <v>2025</v>
      </c>
      <c r="C967" t="s">
        <v>275</v>
      </c>
      <c r="D967" t="s">
        <v>2319</v>
      </c>
      <c r="E967" t="s">
        <v>2325</v>
      </c>
      <c r="F967" t="s">
        <v>23</v>
      </c>
      <c r="G967" t="s">
        <v>2321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f t="shared" si="45"/>
        <v>3</v>
      </c>
      <c r="U967">
        <f t="shared" si="46"/>
        <v>1</v>
      </c>
      <c r="V967" t="b">
        <f t="shared" si="47"/>
        <v>0</v>
      </c>
    </row>
    <row r="968" spans="1:22" x14ac:dyDescent="0.3">
      <c r="A968" t="s">
        <v>2326</v>
      </c>
      <c r="B968">
        <v>2025</v>
      </c>
      <c r="C968" t="s">
        <v>275</v>
      </c>
      <c r="D968" t="s">
        <v>2319</v>
      </c>
      <c r="E968" t="s">
        <v>2327</v>
      </c>
      <c r="F968" t="s">
        <v>23</v>
      </c>
      <c r="G968" t="s">
        <v>2321</v>
      </c>
      <c r="H968">
        <v>1</v>
      </c>
      <c r="I968">
        <v>1</v>
      </c>
      <c r="J968">
        <v>0</v>
      </c>
      <c r="K968">
        <v>1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f t="shared" si="45"/>
        <v>4</v>
      </c>
      <c r="U968">
        <f t="shared" si="46"/>
        <v>1</v>
      </c>
      <c r="V968" t="b">
        <f t="shared" si="47"/>
        <v>0</v>
      </c>
    </row>
    <row r="969" spans="1:22" x14ac:dyDescent="0.3">
      <c r="A969" t="s">
        <v>2328</v>
      </c>
      <c r="B969">
        <v>2025</v>
      </c>
      <c r="C969" t="s">
        <v>2329</v>
      </c>
      <c r="D969" t="s">
        <v>2319</v>
      </c>
      <c r="E969" t="s">
        <v>2330</v>
      </c>
      <c r="F969" t="s">
        <v>23</v>
      </c>
      <c r="G969" t="s">
        <v>2321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f t="shared" si="45"/>
        <v>2</v>
      </c>
      <c r="U969">
        <f t="shared" si="46"/>
        <v>2</v>
      </c>
      <c r="V969" t="b">
        <f t="shared" si="47"/>
        <v>0</v>
      </c>
    </row>
    <row r="970" spans="1:22" x14ac:dyDescent="0.3">
      <c r="A970" t="s">
        <v>2331</v>
      </c>
      <c r="B970">
        <v>2025</v>
      </c>
      <c r="C970" t="s">
        <v>280</v>
      </c>
      <c r="D970" t="s">
        <v>2319</v>
      </c>
      <c r="E970" t="s">
        <v>2332</v>
      </c>
      <c r="F970" t="s">
        <v>23</v>
      </c>
      <c r="G970" t="s">
        <v>2321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f t="shared" si="45"/>
        <v>1</v>
      </c>
      <c r="U970">
        <f t="shared" si="46"/>
        <v>1</v>
      </c>
      <c r="V970" t="b">
        <f t="shared" si="47"/>
        <v>0</v>
      </c>
    </row>
    <row r="971" spans="1:22" x14ac:dyDescent="0.3">
      <c r="A971" t="s">
        <v>2333</v>
      </c>
      <c r="B971">
        <v>2025</v>
      </c>
      <c r="C971" t="s">
        <v>280</v>
      </c>
      <c r="D971" t="s">
        <v>2319</v>
      </c>
      <c r="E971" t="s">
        <v>2334</v>
      </c>
      <c r="F971" t="s">
        <v>23</v>
      </c>
      <c r="G971" t="s">
        <v>2321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f t="shared" si="45"/>
        <v>1</v>
      </c>
      <c r="U971">
        <f t="shared" si="46"/>
        <v>1</v>
      </c>
      <c r="V971" t="b">
        <f t="shared" si="47"/>
        <v>0</v>
      </c>
    </row>
    <row r="972" spans="1:22" x14ac:dyDescent="0.3">
      <c r="A972" t="s">
        <v>2335</v>
      </c>
      <c r="B972">
        <v>2025</v>
      </c>
      <c r="C972" t="s">
        <v>280</v>
      </c>
      <c r="D972" t="s">
        <v>2319</v>
      </c>
      <c r="E972" t="s">
        <v>2336</v>
      </c>
      <c r="F972" t="s">
        <v>23</v>
      </c>
      <c r="G972" t="s">
        <v>2321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1</v>
      </c>
      <c r="T972">
        <f t="shared" si="45"/>
        <v>2</v>
      </c>
      <c r="U972">
        <f t="shared" si="46"/>
        <v>1</v>
      </c>
      <c r="V972" t="b">
        <f t="shared" si="47"/>
        <v>0</v>
      </c>
    </row>
    <row r="973" spans="1:22" x14ac:dyDescent="0.3">
      <c r="A973" t="s">
        <v>2337</v>
      </c>
      <c r="B973">
        <v>2022</v>
      </c>
      <c r="C973" t="s">
        <v>2338</v>
      </c>
      <c r="D973" t="s">
        <v>2319</v>
      </c>
      <c r="E973" t="s">
        <v>2339</v>
      </c>
      <c r="F973" t="s">
        <v>35</v>
      </c>
      <c r="G973" t="s">
        <v>2321</v>
      </c>
      <c r="H973">
        <v>1</v>
      </c>
      <c r="I973">
        <v>1</v>
      </c>
      <c r="J973">
        <v>1</v>
      </c>
      <c r="K973">
        <v>1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f t="shared" si="45"/>
        <v>5</v>
      </c>
      <c r="U973">
        <f t="shared" si="46"/>
        <v>1</v>
      </c>
      <c r="V973" t="b">
        <f t="shared" si="47"/>
        <v>1</v>
      </c>
    </row>
    <row r="974" spans="1:22" x14ac:dyDescent="0.3">
      <c r="A974" t="s">
        <v>2340</v>
      </c>
      <c r="B974">
        <v>2022</v>
      </c>
      <c r="C974" t="s">
        <v>2338</v>
      </c>
      <c r="D974" t="s">
        <v>2319</v>
      </c>
      <c r="E974" t="s">
        <v>2341</v>
      </c>
      <c r="F974" t="s">
        <v>35</v>
      </c>
      <c r="G974" t="s">
        <v>2321</v>
      </c>
      <c r="H974">
        <v>1</v>
      </c>
      <c r="I974">
        <v>1</v>
      </c>
      <c r="J974">
        <v>0</v>
      </c>
      <c r="K974">
        <v>1</v>
      </c>
      <c r="L974">
        <v>0</v>
      </c>
      <c r="M974">
        <v>1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f t="shared" si="45"/>
        <v>4</v>
      </c>
      <c r="U974">
        <f t="shared" si="46"/>
        <v>1</v>
      </c>
      <c r="V974" t="b">
        <f t="shared" si="47"/>
        <v>0</v>
      </c>
    </row>
    <row r="975" spans="1:22" x14ac:dyDescent="0.3">
      <c r="A975" t="s">
        <v>2342</v>
      </c>
      <c r="B975">
        <v>2026</v>
      </c>
      <c r="C975" t="s">
        <v>2343</v>
      </c>
      <c r="D975" t="s">
        <v>29</v>
      </c>
      <c r="E975" t="s">
        <v>2344</v>
      </c>
      <c r="G975" t="s">
        <v>2345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1</v>
      </c>
      <c r="S975">
        <v>0</v>
      </c>
      <c r="T975">
        <f t="shared" si="45"/>
        <v>2</v>
      </c>
      <c r="U975">
        <f t="shared" si="46"/>
        <v>2</v>
      </c>
      <c r="V975" t="b">
        <f t="shared" si="47"/>
        <v>0</v>
      </c>
    </row>
    <row r="976" spans="1:22" x14ac:dyDescent="0.3">
      <c r="A976" t="s">
        <v>2346</v>
      </c>
      <c r="B976">
        <v>2026</v>
      </c>
      <c r="C976" t="s">
        <v>2343</v>
      </c>
      <c r="D976" t="s">
        <v>29</v>
      </c>
      <c r="E976" t="s">
        <v>2347</v>
      </c>
      <c r="G976" t="s">
        <v>2345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f t="shared" si="45"/>
        <v>1</v>
      </c>
      <c r="U976">
        <f t="shared" si="46"/>
        <v>1</v>
      </c>
      <c r="V976" t="b">
        <f t="shared" si="47"/>
        <v>0</v>
      </c>
    </row>
    <row r="977" spans="1:22" x14ac:dyDescent="0.3">
      <c r="A977" t="s">
        <v>2348</v>
      </c>
      <c r="B977">
        <v>2026</v>
      </c>
      <c r="C977" t="s">
        <v>2349</v>
      </c>
      <c r="D977" t="s">
        <v>29</v>
      </c>
      <c r="E977" t="s">
        <v>2350</v>
      </c>
      <c r="G977" t="s">
        <v>2345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f t="shared" si="45"/>
        <v>2</v>
      </c>
      <c r="U977">
        <f t="shared" si="46"/>
        <v>1</v>
      </c>
      <c r="V977" t="b">
        <f t="shared" si="47"/>
        <v>0</v>
      </c>
    </row>
    <row r="978" spans="1:22" x14ac:dyDescent="0.3">
      <c r="A978" t="s">
        <v>2351</v>
      </c>
      <c r="B978">
        <v>2025</v>
      </c>
      <c r="C978" t="s">
        <v>2352</v>
      </c>
      <c r="D978" t="s">
        <v>29</v>
      </c>
      <c r="E978" t="s">
        <v>2353</v>
      </c>
      <c r="G978" t="s">
        <v>2345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f t="shared" si="45"/>
        <v>1</v>
      </c>
      <c r="U978">
        <f t="shared" si="46"/>
        <v>1</v>
      </c>
      <c r="V978" t="b">
        <f t="shared" si="47"/>
        <v>0</v>
      </c>
    </row>
    <row r="979" spans="1:22" x14ac:dyDescent="0.3">
      <c r="A979" t="s">
        <v>2354</v>
      </c>
      <c r="B979">
        <v>2025</v>
      </c>
      <c r="C979" t="s">
        <v>2355</v>
      </c>
      <c r="D979" t="s">
        <v>323</v>
      </c>
      <c r="E979" t="s">
        <v>2356</v>
      </c>
      <c r="G979" t="s">
        <v>2345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f t="shared" si="45"/>
        <v>1</v>
      </c>
      <c r="U979">
        <f t="shared" si="46"/>
        <v>1</v>
      </c>
      <c r="V979" t="b">
        <f t="shared" si="47"/>
        <v>0</v>
      </c>
    </row>
    <row r="980" spans="1:22" x14ac:dyDescent="0.3">
      <c r="A980" t="s">
        <v>2357</v>
      </c>
      <c r="B980">
        <v>2025</v>
      </c>
      <c r="C980" t="s">
        <v>2343</v>
      </c>
      <c r="D980" t="s">
        <v>29</v>
      </c>
      <c r="E980" t="s">
        <v>2358</v>
      </c>
      <c r="G980" t="s">
        <v>2345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f t="shared" si="45"/>
        <v>1</v>
      </c>
      <c r="U980">
        <f t="shared" si="46"/>
        <v>1</v>
      </c>
      <c r="V980" t="b">
        <f t="shared" si="47"/>
        <v>0</v>
      </c>
    </row>
    <row r="981" spans="1:22" x14ac:dyDescent="0.3">
      <c r="A981" t="s">
        <v>2359</v>
      </c>
      <c r="B981">
        <v>2025</v>
      </c>
      <c r="C981" t="s">
        <v>2360</v>
      </c>
      <c r="D981" t="s">
        <v>21</v>
      </c>
      <c r="E981" t="s">
        <v>2361</v>
      </c>
      <c r="G981" t="s">
        <v>2345</v>
      </c>
      <c r="H981">
        <v>1</v>
      </c>
      <c r="I981">
        <v>1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f t="shared" si="45"/>
        <v>4</v>
      </c>
      <c r="U981">
        <f t="shared" si="46"/>
        <v>1</v>
      </c>
      <c r="V981" t="b">
        <f t="shared" si="47"/>
        <v>0</v>
      </c>
    </row>
    <row r="982" spans="1:22" x14ac:dyDescent="0.3">
      <c r="A982" t="s">
        <v>2362</v>
      </c>
      <c r="B982">
        <v>2025</v>
      </c>
      <c r="C982" t="s">
        <v>2355</v>
      </c>
      <c r="D982" t="s">
        <v>323</v>
      </c>
      <c r="E982" t="s">
        <v>2267</v>
      </c>
      <c r="G982" t="s">
        <v>2345</v>
      </c>
      <c r="H982">
        <v>1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f t="shared" si="45"/>
        <v>2</v>
      </c>
      <c r="U982">
        <f t="shared" si="46"/>
        <v>1</v>
      </c>
      <c r="V982" t="b">
        <f t="shared" si="47"/>
        <v>0</v>
      </c>
    </row>
    <row r="983" spans="1:22" x14ac:dyDescent="0.3">
      <c r="A983" t="s">
        <v>2363</v>
      </c>
      <c r="B983">
        <v>2025</v>
      </c>
      <c r="C983" t="s">
        <v>2360</v>
      </c>
      <c r="D983" t="s">
        <v>21</v>
      </c>
      <c r="E983" t="s">
        <v>2364</v>
      </c>
      <c r="G983" t="s">
        <v>2345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f t="shared" si="45"/>
        <v>2</v>
      </c>
      <c r="U983">
        <f t="shared" si="46"/>
        <v>1</v>
      </c>
      <c r="V983" t="b">
        <f t="shared" si="47"/>
        <v>0</v>
      </c>
    </row>
    <row r="984" spans="1:22" x14ac:dyDescent="0.3">
      <c r="A984" t="s">
        <v>2365</v>
      </c>
      <c r="B984">
        <v>2025</v>
      </c>
      <c r="C984" t="s">
        <v>2360</v>
      </c>
      <c r="D984" t="s">
        <v>21</v>
      </c>
      <c r="E984" t="s">
        <v>2366</v>
      </c>
      <c r="G984" t="s">
        <v>2345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f t="shared" si="45"/>
        <v>2</v>
      </c>
      <c r="U984">
        <f t="shared" si="46"/>
        <v>1</v>
      </c>
      <c r="V984" t="b">
        <f t="shared" si="47"/>
        <v>0</v>
      </c>
    </row>
    <row r="985" spans="1:22" x14ac:dyDescent="0.3">
      <c r="A985" t="s">
        <v>2367</v>
      </c>
      <c r="B985">
        <v>2025</v>
      </c>
      <c r="C985" t="s">
        <v>2360</v>
      </c>
      <c r="D985" t="s">
        <v>21</v>
      </c>
      <c r="E985" t="s">
        <v>2368</v>
      </c>
      <c r="G985" t="s">
        <v>2345</v>
      </c>
      <c r="H985">
        <v>1</v>
      </c>
      <c r="I985">
        <v>1</v>
      </c>
      <c r="J985">
        <v>0</v>
      </c>
      <c r="K985">
        <v>1</v>
      </c>
      <c r="L985">
        <v>1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f t="shared" si="45"/>
        <v>4</v>
      </c>
      <c r="U985">
        <f t="shared" si="46"/>
        <v>1</v>
      </c>
      <c r="V985" t="b">
        <f t="shared" si="47"/>
        <v>0</v>
      </c>
    </row>
    <row r="986" spans="1:22" x14ac:dyDescent="0.3">
      <c r="A986" t="s">
        <v>2369</v>
      </c>
      <c r="B986">
        <v>2025</v>
      </c>
      <c r="C986" t="s">
        <v>2360</v>
      </c>
      <c r="D986" t="s">
        <v>21</v>
      </c>
      <c r="E986" t="s">
        <v>2370</v>
      </c>
      <c r="G986" t="s">
        <v>2345</v>
      </c>
      <c r="H986">
        <v>1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f t="shared" si="45"/>
        <v>2</v>
      </c>
      <c r="U986">
        <f t="shared" si="46"/>
        <v>1</v>
      </c>
      <c r="V986" t="b">
        <f t="shared" si="47"/>
        <v>0</v>
      </c>
    </row>
    <row r="987" spans="1:22" x14ac:dyDescent="0.3">
      <c r="A987" t="s">
        <v>2371</v>
      </c>
      <c r="B987">
        <v>2025</v>
      </c>
      <c r="C987" t="s">
        <v>2360</v>
      </c>
      <c r="D987" t="s">
        <v>21</v>
      </c>
      <c r="E987" t="s">
        <v>2372</v>
      </c>
      <c r="G987" t="s">
        <v>2345</v>
      </c>
      <c r="H987">
        <v>1</v>
      </c>
      <c r="I987">
        <v>1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f t="shared" si="45"/>
        <v>4</v>
      </c>
      <c r="U987">
        <f t="shared" si="46"/>
        <v>2</v>
      </c>
      <c r="V987" t="b">
        <f t="shared" si="47"/>
        <v>0</v>
      </c>
    </row>
    <row r="988" spans="1:22" x14ac:dyDescent="0.3">
      <c r="A988" t="s">
        <v>2373</v>
      </c>
      <c r="B988">
        <v>2025</v>
      </c>
      <c r="C988" t="s">
        <v>2374</v>
      </c>
      <c r="D988" t="s">
        <v>323</v>
      </c>
      <c r="E988" t="s">
        <v>2375</v>
      </c>
      <c r="G988" t="s">
        <v>2345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f t="shared" si="45"/>
        <v>1</v>
      </c>
      <c r="U988">
        <f t="shared" si="46"/>
        <v>1</v>
      </c>
      <c r="V988" t="b">
        <f t="shared" si="47"/>
        <v>0</v>
      </c>
    </row>
    <row r="989" spans="1:22" x14ac:dyDescent="0.3">
      <c r="A989" t="s">
        <v>2376</v>
      </c>
      <c r="B989">
        <v>2025</v>
      </c>
      <c r="C989" t="s">
        <v>2360</v>
      </c>
      <c r="D989" t="s">
        <v>21</v>
      </c>
      <c r="E989" t="s">
        <v>2377</v>
      </c>
      <c r="G989" t="s">
        <v>2345</v>
      </c>
      <c r="H989">
        <v>1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f t="shared" si="45"/>
        <v>2</v>
      </c>
      <c r="U989">
        <f t="shared" si="46"/>
        <v>1</v>
      </c>
      <c r="V989" t="b">
        <f t="shared" si="47"/>
        <v>0</v>
      </c>
    </row>
    <row r="990" spans="1:22" x14ac:dyDescent="0.3">
      <c r="A990" t="s">
        <v>2378</v>
      </c>
      <c r="B990">
        <v>2025</v>
      </c>
      <c r="C990" t="s">
        <v>2360</v>
      </c>
      <c r="D990" t="s">
        <v>21</v>
      </c>
      <c r="E990" t="s">
        <v>2379</v>
      </c>
      <c r="G990" t="s">
        <v>2345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f t="shared" si="45"/>
        <v>2</v>
      </c>
      <c r="U990">
        <f t="shared" si="46"/>
        <v>1</v>
      </c>
      <c r="V990" t="b">
        <f t="shared" si="47"/>
        <v>0</v>
      </c>
    </row>
    <row r="991" spans="1:22" x14ac:dyDescent="0.3">
      <c r="A991" t="s">
        <v>2380</v>
      </c>
      <c r="B991">
        <v>2025</v>
      </c>
      <c r="C991" t="s">
        <v>2381</v>
      </c>
      <c r="D991" t="s">
        <v>21</v>
      </c>
      <c r="E991" t="s">
        <v>2382</v>
      </c>
      <c r="G991" t="s">
        <v>2345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f t="shared" si="45"/>
        <v>2</v>
      </c>
      <c r="U991">
        <f t="shared" si="46"/>
        <v>1</v>
      </c>
      <c r="V991" t="b">
        <f t="shared" si="47"/>
        <v>0</v>
      </c>
    </row>
    <row r="992" spans="1:22" x14ac:dyDescent="0.3">
      <c r="A992" t="s">
        <v>2383</v>
      </c>
      <c r="B992">
        <v>2025</v>
      </c>
      <c r="C992" t="s">
        <v>2343</v>
      </c>
      <c r="D992" t="s">
        <v>29</v>
      </c>
      <c r="E992" t="s">
        <v>2384</v>
      </c>
      <c r="G992" t="s">
        <v>2345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f t="shared" si="45"/>
        <v>1</v>
      </c>
      <c r="U992">
        <f t="shared" si="46"/>
        <v>1</v>
      </c>
      <c r="V992" t="b">
        <f t="shared" si="47"/>
        <v>0</v>
      </c>
    </row>
    <row r="993" spans="1:22" x14ac:dyDescent="0.3">
      <c r="A993" t="s">
        <v>2385</v>
      </c>
      <c r="B993">
        <v>2025</v>
      </c>
      <c r="C993" t="s">
        <v>2360</v>
      </c>
      <c r="D993" t="s">
        <v>21</v>
      </c>
      <c r="E993" t="s">
        <v>2386</v>
      </c>
      <c r="G993" t="s">
        <v>2345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f t="shared" si="45"/>
        <v>2</v>
      </c>
      <c r="U993">
        <f t="shared" si="46"/>
        <v>1</v>
      </c>
      <c r="V993" t="b">
        <f t="shared" si="47"/>
        <v>0</v>
      </c>
    </row>
    <row r="994" spans="1:22" x14ac:dyDescent="0.3">
      <c r="A994" t="s">
        <v>2387</v>
      </c>
      <c r="B994">
        <v>2025</v>
      </c>
      <c r="C994" t="s">
        <v>2360</v>
      </c>
      <c r="D994" t="s">
        <v>21</v>
      </c>
      <c r="E994" t="s">
        <v>2388</v>
      </c>
      <c r="G994" t="s">
        <v>2345</v>
      </c>
      <c r="H994">
        <v>1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f t="shared" si="45"/>
        <v>2</v>
      </c>
      <c r="U994">
        <f t="shared" si="46"/>
        <v>1</v>
      </c>
      <c r="V994" t="b">
        <f t="shared" si="47"/>
        <v>0</v>
      </c>
    </row>
    <row r="995" spans="1:22" x14ac:dyDescent="0.3">
      <c r="A995" t="s">
        <v>2389</v>
      </c>
      <c r="B995">
        <v>2025</v>
      </c>
      <c r="C995" t="s">
        <v>2360</v>
      </c>
      <c r="D995" t="s">
        <v>21</v>
      </c>
      <c r="E995" t="s">
        <v>2390</v>
      </c>
      <c r="G995" t="s">
        <v>2345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f t="shared" si="45"/>
        <v>3</v>
      </c>
      <c r="U995">
        <f t="shared" si="46"/>
        <v>1</v>
      </c>
      <c r="V995" t="b">
        <f t="shared" si="47"/>
        <v>0</v>
      </c>
    </row>
    <row r="996" spans="1:22" x14ac:dyDescent="0.3">
      <c r="A996" t="s">
        <v>2391</v>
      </c>
      <c r="B996">
        <v>2025</v>
      </c>
      <c r="C996" t="s">
        <v>2360</v>
      </c>
      <c r="D996" t="s">
        <v>21</v>
      </c>
      <c r="E996" t="s">
        <v>2392</v>
      </c>
      <c r="G996" t="s">
        <v>2345</v>
      </c>
      <c r="H996">
        <v>1</v>
      </c>
      <c r="I996">
        <v>0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f t="shared" si="45"/>
        <v>3</v>
      </c>
      <c r="U996">
        <f t="shared" si="46"/>
        <v>1</v>
      </c>
      <c r="V996" t="b">
        <f t="shared" si="47"/>
        <v>0</v>
      </c>
    </row>
    <row r="997" spans="1:22" x14ac:dyDescent="0.3">
      <c r="A997" t="s">
        <v>2393</v>
      </c>
      <c r="B997">
        <v>2025</v>
      </c>
      <c r="C997" t="s">
        <v>2381</v>
      </c>
      <c r="D997" t="s">
        <v>21</v>
      </c>
      <c r="E997" t="s">
        <v>2394</v>
      </c>
      <c r="G997" t="s">
        <v>2345</v>
      </c>
      <c r="H997">
        <v>1</v>
      </c>
      <c r="I997">
        <v>1</v>
      </c>
      <c r="J997">
        <v>0</v>
      </c>
      <c r="K997">
        <v>1</v>
      </c>
      <c r="L997">
        <v>1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f t="shared" si="45"/>
        <v>4</v>
      </c>
      <c r="U997">
        <f t="shared" si="46"/>
        <v>1</v>
      </c>
      <c r="V997" t="b">
        <f t="shared" si="47"/>
        <v>0</v>
      </c>
    </row>
    <row r="998" spans="1:22" x14ac:dyDescent="0.3">
      <c r="A998" t="s">
        <v>2395</v>
      </c>
      <c r="B998">
        <v>2025</v>
      </c>
      <c r="C998" t="s">
        <v>2360</v>
      </c>
      <c r="D998" t="s">
        <v>21</v>
      </c>
      <c r="E998" t="s">
        <v>2396</v>
      </c>
      <c r="G998" t="s">
        <v>2345</v>
      </c>
      <c r="H998">
        <v>1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f t="shared" si="45"/>
        <v>2</v>
      </c>
      <c r="U998">
        <f t="shared" si="46"/>
        <v>1</v>
      </c>
      <c r="V998" t="b">
        <f t="shared" si="47"/>
        <v>0</v>
      </c>
    </row>
    <row r="999" spans="1:22" x14ac:dyDescent="0.3">
      <c r="A999" t="s">
        <v>2397</v>
      </c>
      <c r="B999">
        <v>2025</v>
      </c>
      <c r="C999" t="s">
        <v>2360</v>
      </c>
      <c r="D999" t="s">
        <v>21</v>
      </c>
      <c r="E999" t="s">
        <v>2398</v>
      </c>
      <c r="G999" t="s">
        <v>2345</v>
      </c>
      <c r="H999">
        <v>1</v>
      </c>
      <c r="I999">
        <v>0</v>
      </c>
      <c r="J999">
        <v>1</v>
      </c>
      <c r="K999">
        <v>0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f t="shared" si="45"/>
        <v>3</v>
      </c>
      <c r="U999">
        <f t="shared" si="46"/>
        <v>1</v>
      </c>
      <c r="V999" t="b">
        <f t="shared" si="47"/>
        <v>0</v>
      </c>
    </row>
    <row r="1000" spans="1:22" x14ac:dyDescent="0.3">
      <c r="A1000" t="s">
        <v>2399</v>
      </c>
      <c r="B1000">
        <v>2025</v>
      </c>
      <c r="C1000" t="s">
        <v>2343</v>
      </c>
      <c r="D1000" t="s">
        <v>29</v>
      </c>
      <c r="E1000" t="s">
        <v>2400</v>
      </c>
      <c r="G1000" t="s">
        <v>2345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f t="shared" si="45"/>
        <v>1</v>
      </c>
      <c r="U1000">
        <f t="shared" si="46"/>
        <v>1</v>
      </c>
      <c r="V1000" t="b">
        <f t="shared" si="47"/>
        <v>0</v>
      </c>
    </row>
    <row r="1001" spans="1:22" x14ac:dyDescent="0.3">
      <c r="A1001" t="s">
        <v>2401</v>
      </c>
      <c r="B1001">
        <v>2025</v>
      </c>
      <c r="C1001" t="s">
        <v>2360</v>
      </c>
      <c r="D1001" t="s">
        <v>21</v>
      </c>
      <c r="E1001" t="s">
        <v>2402</v>
      </c>
      <c r="G1001" t="s">
        <v>2345</v>
      </c>
      <c r="H1001">
        <v>1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f t="shared" si="45"/>
        <v>2</v>
      </c>
      <c r="U1001">
        <f t="shared" si="46"/>
        <v>1</v>
      </c>
      <c r="V1001" t="b">
        <f t="shared" si="47"/>
        <v>0</v>
      </c>
    </row>
    <row r="1002" spans="1:22" x14ac:dyDescent="0.3">
      <c r="A1002" t="s">
        <v>2403</v>
      </c>
      <c r="B1002">
        <v>2025</v>
      </c>
      <c r="C1002" t="s">
        <v>2381</v>
      </c>
      <c r="D1002" t="s">
        <v>21</v>
      </c>
      <c r="E1002" t="s">
        <v>2404</v>
      </c>
      <c r="G1002" t="s">
        <v>2345</v>
      </c>
      <c r="H1002">
        <v>1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f t="shared" si="45"/>
        <v>2</v>
      </c>
      <c r="U1002">
        <f t="shared" si="46"/>
        <v>1</v>
      </c>
      <c r="V1002" t="b">
        <f t="shared" si="47"/>
        <v>0</v>
      </c>
    </row>
    <row r="1003" spans="1:22" x14ac:dyDescent="0.3">
      <c r="A1003" t="s">
        <v>2405</v>
      </c>
      <c r="B1003">
        <v>2025</v>
      </c>
      <c r="C1003" t="s">
        <v>2381</v>
      </c>
      <c r="D1003" t="s">
        <v>21</v>
      </c>
      <c r="E1003" t="s">
        <v>2406</v>
      </c>
      <c r="G1003" t="s">
        <v>2345</v>
      </c>
      <c r="H1003">
        <v>1</v>
      </c>
      <c r="I1003">
        <v>0</v>
      </c>
      <c r="J1003">
        <v>1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f t="shared" si="45"/>
        <v>3</v>
      </c>
      <c r="U1003">
        <f t="shared" si="46"/>
        <v>1</v>
      </c>
      <c r="V1003" t="b">
        <f t="shared" si="47"/>
        <v>0</v>
      </c>
    </row>
    <row r="1004" spans="1:22" x14ac:dyDescent="0.3">
      <c r="A1004" t="s">
        <v>2407</v>
      </c>
      <c r="B1004">
        <v>2025</v>
      </c>
      <c r="C1004" t="s">
        <v>2408</v>
      </c>
      <c r="D1004" t="s">
        <v>29</v>
      </c>
      <c r="E1004" t="s">
        <v>2409</v>
      </c>
      <c r="G1004" t="s">
        <v>2345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f t="shared" si="45"/>
        <v>2</v>
      </c>
      <c r="U1004">
        <f t="shared" si="46"/>
        <v>1</v>
      </c>
      <c r="V1004" t="b">
        <f t="shared" si="47"/>
        <v>0</v>
      </c>
    </row>
    <row r="1005" spans="1:22" x14ac:dyDescent="0.3">
      <c r="A1005" t="s">
        <v>2410</v>
      </c>
      <c r="B1005">
        <v>2025</v>
      </c>
      <c r="C1005" t="s">
        <v>2360</v>
      </c>
      <c r="D1005" t="s">
        <v>21</v>
      </c>
      <c r="E1005" t="s">
        <v>2411</v>
      </c>
      <c r="G1005" t="s">
        <v>2345</v>
      </c>
      <c r="H1005">
        <v>1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f t="shared" si="45"/>
        <v>2</v>
      </c>
      <c r="U1005">
        <f t="shared" si="46"/>
        <v>1</v>
      </c>
      <c r="V1005" t="b">
        <f t="shared" si="47"/>
        <v>0</v>
      </c>
    </row>
    <row r="1006" spans="1:22" x14ac:dyDescent="0.3">
      <c r="A1006" t="s">
        <v>2412</v>
      </c>
      <c r="B1006">
        <v>2025</v>
      </c>
      <c r="C1006" t="s">
        <v>2360</v>
      </c>
      <c r="D1006" t="s">
        <v>21</v>
      </c>
      <c r="E1006" t="s">
        <v>2413</v>
      </c>
      <c r="G1006" t="s">
        <v>2345</v>
      </c>
      <c r="H1006">
        <v>1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f t="shared" si="45"/>
        <v>2</v>
      </c>
      <c r="U1006">
        <f t="shared" si="46"/>
        <v>1</v>
      </c>
      <c r="V1006" t="b">
        <f t="shared" si="47"/>
        <v>0</v>
      </c>
    </row>
    <row r="1007" spans="1:22" x14ac:dyDescent="0.3">
      <c r="A1007" t="s">
        <v>2414</v>
      </c>
      <c r="B1007">
        <v>2025</v>
      </c>
      <c r="C1007" t="s">
        <v>2381</v>
      </c>
      <c r="D1007" t="s">
        <v>21</v>
      </c>
      <c r="E1007" t="s">
        <v>2415</v>
      </c>
      <c r="G1007" t="s">
        <v>2345</v>
      </c>
      <c r="H1007">
        <v>1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f t="shared" si="45"/>
        <v>2</v>
      </c>
      <c r="U1007">
        <f t="shared" si="46"/>
        <v>1</v>
      </c>
      <c r="V1007" t="b">
        <f t="shared" si="47"/>
        <v>0</v>
      </c>
    </row>
    <row r="1008" spans="1:22" x14ac:dyDescent="0.3">
      <c r="A1008" t="s">
        <v>2416</v>
      </c>
      <c r="B1008">
        <v>2025</v>
      </c>
      <c r="C1008" t="s">
        <v>2343</v>
      </c>
      <c r="D1008" t="s">
        <v>29</v>
      </c>
      <c r="E1008" t="s">
        <v>2417</v>
      </c>
      <c r="G1008" t="s">
        <v>2345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f t="shared" si="45"/>
        <v>1</v>
      </c>
      <c r="U1008">
        <f t="shared" si="46"/>
        <v>1</v>
      </c>
      <c r="V1008" t="b">
        <f t="shared" si="47"/>
        <v>0</v>
      </c>
    </row>
    <row r="1009" spans="1:22" x14ac:dyDescent="0.3">
      <c r="A1009" t="s">
        <v>2418</v>
      </c>
      <c r="B1009">
        <v>2025</v>
      </c>
      <c r="C1009" t="s">
        <v>2381</v>
      </c>
      <c r="D1009" t="s">
        <v>21</v>
      </c>
      <c r="E1009" t="s">
        <v>2419</v>
      </c>
      <c r="G1009" t="s">
        <v>2345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f t="shared" si="45"/>
        <v>2</v>
      </c>
      <c r="U1009">
        <f t="shared" si="46"/>
        <v>1</v>
      </c>
      <c r="V1009" t="b">
        <f t="shared" si="47"/>
        <v>0</v>
      </c>
    </row>
    <row r="1010" spans="1:22" x14ac:dyDescent="0.3">
      <c r="A1010" t="s">
        <v>2420</v>
      </c>
      <c r="B1010">
        <v>2025</v>
      </c>
      <c r="C1010" t="s">
        <v>2360</v>
      </c>
      <c r="D1010" t="s">
        <v>21</v>
      </c>
      <c r="E1010" t="s">
        <v>2421</v>
      </c>
      <c r="G1010" t="s">
        <v>2345</v>
      </c>
      <c r="H1010">
        <v>1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f t="shared" si="45"/>
        <v>2</v>
      </c>
      <c r="U1010">
        <f t="shared" si="46"/>
        <v>1</v>
      </c>
      <c r="V1010" t="b">
        <f t="shared" si="47"/>
        <v>0</v>
      </c>
    </row>
    <row r="1011" spans="1:22" x14ac:dyDescent="0.3">
      <c r="A1011" t="s">
        <v>2422</v>
      </c>
      <c r="B1011">
        <v>2025</v>
      </c>
      <c r="C1011" t="s">
        <v>2343</v>
      </c>
      <c r="D1011" t="s">
        <v>29</v>
      </c>
      <c r="E1011" t="s">
        <v>2423</v>
      </c>
      <c r="G1011" t="s">
        <v>2345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f t="shared" si="45"/>
        <v>1</v>
      </c>
      <c r="U1011">
        <f t="shared" si="46"/>
        <v>1</v>
      </c>
      <c r="V1011" t="b">
        <f t="shared" si="47"/>
        <v>0</v>
      </c>
    </row>
    <row r="1012" spans="1:22" x14ac:dyDescent="0.3">
      <c r="A1012" t="s">
        <v>2424</v>
      </c>
      <c r="B1012">
        <v>2025</v>
      </c>
      <c r="C1012" t="s">
        <v>2408</v>
      </c>
      <c r="D1012" t="s">
        <v>29</v>
      </c>
      <c r="E1012" t="s">
        <v>2425</v>
      </c>
      <c r="G1012" t="s">
        <v>2345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f t="shared" si="45"/>
        <v>1</v>
      </c>
      <c r="U1012">
        <f t="shared" si="46"/>
        <v>1</v>
      </c>
      <c r="V1012" t="b">
        <f t="shared" si="47"/>
        <v>0</v>
      </c>
    </row>
    <row r="1013" spans="1:22" x14ac:dyDescent="0.3">
      <c r="A1013" t="s">
        <v>2426</v>
      </c>
      <c r="B1013">
        <v>2025</v>
      </c>
      <c r="C1013" t="s">
        <v>2343</v>
      </c>
      <c r="D1013" t="s">
        <v>29</v>
      </c>
      <c r="E1013" t="s">
        <v>2427</v>
      </c>
      <c r="G1013" t="s">
        <v>2345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f t="shared" si="45"/>
        <v>1</v>
      </c>
      <c r="U1013">
        <f t="shared" si="46"/>
        <v>1</v>
      </c>
      <c r="V1013" t="b">
        <f t="shared" si="47"/>
        <v>0</v>
      </c>
    </row>
    <row r="1014" spans="1:22" x14ac:dyDescent="0.3">
      <c r="A1014" t="s">
        <v>2428</v>
      </c>
      <c r="B1014">
        <v>2025</v>
      </c>
      <c r="C1014" t="s">
        <v>2349</v>
      </c>
      <c r="D1014" t="s">
        <v>29</v>
      </c>
      <c r="E1014" t="s">
        <v>2429</v>
      </c>
      <c r="G1014" t="s">
        <v>2345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f t="shared" si="45"/>
        <v>1</v>
      </c>
      <c r="U1014">
        <f t="shared" si="46"/>
        <v>1</v>
      </c>
      <c r="V1014" t="b">
        <f t="shared" si="47"/>
        <v>0</v>
      </c>
    </row>
    <row r="1015" spans="1:22" x14ac:dyDescent="0.3">
      <c r="A1015" t="s">
        <v>2430</v>
      </c>
      <c r="B1015">
        <v>2025</v>
      </c>
      <c r="C1015" t="s">
        <v>2360</v>
      </c>
      <c r="D1015" t="s">
        <v>21</v>
      </c>
      <c r="E1015" t="s">
        <v>2431</v>
      </c>
      <c r="G1015" t="s">
        <v>2345</v>
      </c>
      <c r="H1015">
        <v>1</v>
      </c>
      <c r="I1015">
        <v>0</v>
      </c>
      <c r="J1015">
        <v>1</v>
      </c>
      <c r="K1015">
        <v>0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f t="shared" si="45"/>
        <v>3</v>
      </c>
      <c r="U1015">
        <f t="shared" si="46"/>
        <v>1</v>
      </c>
      <c r="V1015" t="b">
        <f t="shared" si="47"/>
        <v>0</v>
      </c>
    </row>
    <row r="1016" spans="1:22" x14ac:dyDescent="0.3">
      <c r="A1016" t="s">
        <v>2432</v>
      </c>
      <c r="B1016">
        <v>2025</v>
      </c>
      <c r="C1016" t="s">
        <v>2360</v>
      </c>
      <c r="D1016" t="s">
        <v>21</v>
      </c>
      <c r="E1016" t="s">
        <v>2433</v>
      </c>
      <c r="G1016" t="s">
        <v>2345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f t="shared" si="45"/>
        <v>2</v>
      </c>
      <c r="U1016">
        <f t="shared" si="46"/>
        <v>1</v>
      </c>
      <c r="V1016" t="b">
        <f t="shared" si="47"/>
        <v>0</v>
      </c>
    </row>
    <row r="1017" spans="1:22" x14ac:dyDescent="0.3">
      <c r="A1017" t="s">
        <v>2434</v>
      </c>
      <c r="B1017">
        <v>2025</v>
      </c>
      <c r="C1017" t="s">
        <v>2381</v>
      </c>
      <c r="D1017" t="s">
        <v>21</v>
      </c>
      <c r="E1017" t="s">
        <v>2435</v>
      </c>
      <c r="G1017" t="s">
        <v>2345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f t="shared" si="45"/>
        <v>2</v>
      </c>
      <c r="U1017">
        <f t="shared" si="46"/>
        <v>1</v>
      </c>
      <c r="V1017" t="b">
        <f t="shared" si="47"/>
        <v>0</v>
      </c>
    </row>
    <row r="1018" spans="1:22" x14ac:dyDescent="0.3">
      <c r="A1018" t="s">
        <v>2436</v>
      </c>
      <c r="B1018">
        <v>2025</v>
      </c>
      <c r="C1018" t="s">
        <v>2360</v>
      </c>
      <c r="D1018" t="s">
        <v>21</v>
      </c>
      <c r="E1018" t="s">
        <v>2437</v>
      </c>
      <c r="G1018" t="s">
        <v>2345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f t="shared" si="45"/>
        <v>2</v>
      </c>
      <c r="U1018">
        <f t="shared" si="46"/>
        <v>1</v>
      </c>
      <c r="V1018" t="b">
        <f t="shared" si="47"/>
        <v>0</v>
      </c>
    </row>
    <row r="1019" spans="1:22" x14ac:dyDescent="0.3">
      <c r="A1019" t="s">
        <v>2438</v>
      </c>
      <c r="B1019">
        <v>2025</v>
      </c>
      <c r="C1019" t="s">
        <v>2360</v>
      </c>
      <c r="D1019" t="s">
        <v>21</v>
      </c>
      <c r="E1019" t="s">
        <v>2439</v>
      </c>
      <c r="G1019" t="s">
        <v>2345</v>
      </c>
      <c r="H1019">
        <v>1</v>
      </c>
      <c r="I1019">
        <v>1</v>
      </c>
      <c r="J1019">
        <v>0</v>
      </c>
      <c r="K1019">
        <v>1</v>
      </c>
      <c r="L1019">
        <v>1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f t="shared" si="45"/>
        <v>4</v>
      </c>
      <c r="U1019">
        <f t="shared" si="46"/>
        <v>1</v>
      </c>
      <c r="V1019" t="b">
        <f t="shared" si="47"/>
        <v>0</v>
      </c>
    </row>
    <row r="1020" spans="1:22" x14ac:dyDescent="0.3">
      <c r="A1020" t="s">
        <v>2440</v>
      </c>
      <c r="B1020">
        <v>2025</v>
      </c>
      <c r="C1020" t="s">
        <v>2441</v>
      </c>
      <c r="D1020" t="s">
        <v>29</v>
      </c>
      <c r="E1020" t="s">
        <v>2442</v>
      </c>
      <c r="G1020" t="s">
        <v>2345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f t="shared" si="45"/>
        <v>1</v>
      </c>
      <c r="U1020">
        <f t="shared" si="46"/>
        <v>1</v>
      </c>
      <c r="V1020" t="b">
        <f t="shared" si="47"/>
        <v>0</v>
      </c>
    </row>
    <row r="1021" spans="1:22" x14ac:dyDescent="0.3">
      <c r="A1021" t="s">
        <v>2443</v>
      </c>
      <c r="B1021">
        <v>2025</v>
      </c>
      <c r="C1021" t="s">
        <v>2444</v>
      </c>
      <c r="D1021" t="s">
        <v>323</v>
      </c>
      <c r="E1021" t="s">
        <v>2445</v>
      </c>
      <c r="G1021" t="s">
        <v>2345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f t="shared" si="45"/>
        <v>1</v>
      </c>
      <c r="U1021">
        <f t="shared" si="46"/>
        <v>1</v>
      </c>
      <c r="V1021" t="b">
        <f t="shared" si="47"/>
        <v>0</v>
      </c>
    </row>
    <row r="1022" spans="1:22" x14ac:dyDescent="0.3">
      <c r="A1022" t="s">
        <v>2446</v>
      </c>
      <c r="B1022">
        <v>2025</v>
      </c>
      <c r="C1022" t="s">
        <v>2447</v>
      </c>
      <c r="D1022" t="s">
        <v>21</v>
      </c>
      <c r="E1022" t="s">
        <v>2448</v>
      </c>
      <c r="G1022" t="s">
        <v>2345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f t="shared" si="45"/>
        <v>1</v>
      </c>
      <c r="U1022">
        <f t="shared" si="46"/>
        <v>1</v>
      </c>
      <c r="V1022" t="b">
        <f t="shared" si="47"/>
        <v>0</v>
      </c>
    </row>
    <row r="1023" spans="1:22" x14ac:dyDescent="0.3">
      <c r="A1023" t="s">
        <v>2449</v>
      </c>
      <c r="B1023">
        <v>2025</v>
      </c>
      <c r="C1023" t="s">
        <v>2450</v>
      </c>
      <c r="D1023" t="s">
        <v>21</v>
      </c>
      <c r="E1023" t="s">
        <v>2451</v>
      </c>
      <c r="G1023" t="s">
        <v>2345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f t="shared" si="45"/>
        <v>1</v>
      </c>
      <c r="U1023">
        <f t="shared" si="46"/>
        <v>1</v>
      </c>
      <c r="V1023" t="b">
        <f t="shared" si="47"/>
        <v>0</v>
      </c>
    </row>
    <row r="1024" spans="1:22" x14ac:dyDescent="0.3">
      <c r="A1024" t="s">
        <v>2452</v>
      </c>
      <c r="B1024">
        <v>2025</v>
      </c>
      <c r="C1024" t="s">
        <v>2453</v>
      </c>
      <c r="D1024" t="s">
        <v>21</v>
      </c>
      <c r="E1024" t="s">
        <v>2454</v>
      </c>
      <c r="G1024" t="s">
        <v>2345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f t="shared" si="45"/>
        <v>1</v>
      </c>
      <c r="U1024">
        <f t="shared" si="46"/>
        <v>1</v>
      </c>
      <c r="V1024" t="b">
        <f t="shared" si="47"/>
        <v>0</v>
      </c>
    </row>
    <row r="1025" spans="1:22" x14ac:dyDescent="0.3">
      <c r="A1025" t="s">
        <v>2455</v>
      </c>
      <c r="B1025">
        <v>2025</v>
      </c>
      <c r="C1025" t="s">
        <v>2444</v>
      </c>
      <c r="D1025" t="s">
        <v>323</v>
      </c>
      <c r="E1025" t="s">
        <v>2456</v>
      </c>
      <c r="G1025" t="s">
        <v>2345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f t="shared" si="45"/>
        <v>2</v>
      </c>
      <c r="U1025">
        <f t="shared" si="46"/>
        <v>1</v>
      </c>
      <c r="V1025" t="b">
        <f t="shared" si="47"/>
        <v>0</v>
      </c>
    </row>
    <row r="1026" spans="1:22" x14ac:dyDescent="0.3">
      <c r="A1026" t="s">
        <v>2457</v>
      </c>
      <c r="B1026">
        <v>2025</v>
      </c>
      <c r="C1026" t="s">
        <v>2355</v>
      </c>
      <c r="D1026" t="s">
        <v>323</v>
      </c>
      <c r="E1026" t="s">
        <v>2458</v>
      </c>
      <c r="G1026" t="s">
        <v>2345</v>
      </c>
      <c r="H1026">
        <v>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f t="shared" si="45"/>
        <v>2</v>
      </c>
      <c r="U1026">
        <f t="shared" si="46"/>
        <v>1</v>
      </c>
      <c r="V1026" t="b">
        <f t="shared" si="47"/>
        <v>0</v>
      </c>
    </row>
    <row r="1027" spans="1:22" x14ac:dyDescent="0.3">
      <c r="A1027" t="s">
        <v>2459</v>
      </c>
      <c r="B1027">
        <v>2025</v>
      </c>
      <c r="C1027" t="s">
        <v>2355</v>
      </c>
      <c r="D1027" t="s">
        <v>323</v>
      </c>
      <c r="E1027" t="s">
        <v>2460</v>
      </c>
      <c r="G1027" t="s">
        <v>2345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1</v>
      </c>
      <c r="S1027">
        <v>0</v>
      </c>
      <c r="T1027">
        <f t="shared" ref="T1027:T1084" si="48">SUM(H1027:M1027)</f>
        <v>2</v>
      </c>
      <c r="U1027">
        <f t="shared" ref="U1027:U1084" si="49">SUM(N1027:R1027)</f>
        <v>2</v>
      </c>
      <c r="V1027" t="b">
        <f t="shared" ref="V1027:V1083" si="50">T1027&gt;4</f>
        <v>0</v>
      </c>
    </row>
    <row r="1028" spans="1:22" x14ac:dyDescent="0.3">
      <c r="A1028" t="s">
        <v>2461</v>
      </c>
      <c r="B1028">
        <v>2024</v>
      </c>
      <c r="C1028" t="s">
        <v>2462</v>
      </c>
      <c r="D1028" t="s">
        <v>21</v>
      </c>
      <c r="E1028" t="s">
        <v>2463</v>
      </c>
      <c r="G1028" t="s">
        <v>2345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f t="shared" si="48"/>
        <v>1</v>
      </c>
      <c r="U1028">
        <f t="shared" si="49"/>
        <v>1</v>
      </c>
      <c r="V1028" t="b">
        <f t="shared" si="50"/>
        <v>0</v>
      </c>
    </row>
    <row r="1029" spans="1:22" x14ac:dyDescent="0.3">
      <c r="A1029" t="s">
        <v>2464</v>
      </c>
      <c r="B1029">
        <v>2024</v>
      </c>
      <c r="C1029" t="s">
        <v>2462</v>
      </c>
      <c r="D1029" t="s">
        <v>21</v>
      </c>
      <c r="E1029" t="s">
        <v>2465</v>
      </c>
      <c r="G1029" t="s">
        <v>2345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f t="shared" si="48"/>
        <v>1</v>
      </c>
      <c r="U1029">
        <f t="shared" si="49"/>
        <v>1</v>
      </c>
      <c r="V1029" t="b">
        <f t="shared" si="50"/>
        <v>0</v>
      </c>
    </row>
    <row r="1030" spans="1:22" x14ac:dyDescent="0.3">
      <c r="A1030" t="s">
        <v>2466</v>
      </c>
      <c r="B1030">
        <v>2024</v>
      </c>
      <c r="C1030" t="s">
        <v>2467</v>
      </c>
      <c r="D1030" t="s">
        <v>29</v>
      </c>
      <c r="E1030" t="s">
        <v>2468</v>
      </c>
      <c r="G1030" t="s">
        <v>2345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f t="shared" si="48"/>
        <v>1</v>
      </c>
      <c r="U1030">
        <f t="shared" si="49"/>
        <v>1</v>
      </c>
      <c r="V1030" t="b">
        <f t="shared" si="50"/>
        <v>0</v>
      </c>
    </row>
    <row r="1031" spans="1:22" x14ac:dyDescent="0.3">
      <c r="A1031" t="s">
        <v>2469</v>
      </c>
      <c r="B1031">
        <v>2024</v>
      </c>
      <c r="C1031" t="s">
        <v>2352</v>
      </c>
      <c r="D1031" t="s">
        <v>29</v>
      </c>
      <c r="E1031" t="s">
        <v>2470</v>
      </c>
      <c r="G1031" t="s">
        <v>2345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1</v>
      </c>
      <c r="S1031">
        <v>0</v>
      </c>
      <c r="T1031">
        <f t="shared" si="48"/>
        <v>2</v>
      </c>
      <c r="U1031">
        <f t="shared" si="49"/>
        <v>2</v>
      </c>
      <c r="V1031" t="b">
        <f t="shared" si="50"/>
        <v>0</v>
      </c>
    </row>
    <row r="1032" spans="1:22" x14ac:dyDescent="0.3">
      <c r="A1032" t="s">
        <v>2471</v>
      </c>
      <c r="B1032">
        <v>2024</v>
      </c>
      <c r="C1032" t="s">
        <v>2472</v>
      </c>
      <c r="D1032" t="s">
        <v>29</v>
      </c>
      <c r="E1032" t="s">
        <v>2473</v>
      </c>
      <c r="G1032" t="s">
        <v>2345</v>
      </c>
      <c r="H1032">
        <v>0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1</v>
      </c>
      <c r="S1032">
        <v>0</v>
      </c>
      <c r="T1032">
        <f t="shared" si="48"/>
        <v>2</v>
      </c>
      <c r="U1032">
        <f t="shared" si="49"/>
        <v>2</v>
      </c>
      <c r="V1032" t="b">
        <f t="shared" si="50"/>
        <v>0</v>
      </c>
    </row>
    <row r="1033" spans="1:22" x14ac:dyDescent="0.3">
      <c r="A1033" t="s">
        <v>2474</v>
      </c>
      <c r="B1033">
        <v>2024</v>
      </c>
      <c r="C1033" t="s">
        <v>2475</v>
      </c>
      <c r="D1033" t="s">
        <v>323</v>
      </c>
      <c r="E1033" t="s">
        <v>2476</v>
      </c>
      <c r="G1033" t="s">
        <v>2345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f t="shared" si="48"/>
        <v>2</v>
      </c>
      <c r="U1033">
        <f t="shared" si="49"/>
        <v>1</v>
      </c>
      <c r="V1033" t="b">
        <f t="shared" si="50"/>
        <v>0</v>
      </c>
    </row>
    <row r="1034" spans="1:22" x14ac:dyDescent="0.3">
      <c r="A1034" t="s">
        <v>2477</v>
      </c>
      <c r="B1034">
        <v>2024</v>
      </c>
      <c r="C1034" t="s">
        <v>2475</v>
      </c>
      <c r="D1034" t="s">
        <v>323</v>
      </c>
      <c r="E1034" t="s">
        <v>2478</v>
      </c>
      <c r="G1034" t="s">
        <v>2345</v>
      </c>
      <c r="H1034">
        <v>1</v>
      </c>
      <c r="I1034">
        <v>1</v>
      </c>
      <c r="J1034">
        <v>0</v>
      </c>
      <c r="K1034">
        <v>1</v>
      </c>
      <c r="L1034">
        <v>1</v>
      </c>
      <c r="M1034">
        <v>0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f t="shared" si="48"/>
        <v>4</v>
      </c>
      <c r="U1034">
        <f t="shared" si="49"/>
        <v>2</v>
      </c>
      <c r="V1034" t="b">
        <f t="shared" si="50"/>
        <v>0</v>
      </c>
    </row>
    <row r="1035" spans="1:22" x14ac:dyDescent="0.3">
      <c r="A1035" t="s">
        <v>2479</v>
      </c>
      <c r="B1035">
        <v>2024</v>
      </c>
      <c r="C1035" t="s">
        <v>2480</v>
      </c>
      <c r="D1035" t="s">
        <v>21</v>
      </c>
      <c r="E1035" t="s">
        <v>2481</v>
      </c>
      <c r="G1035" t="s">
        <v>2345</v>
      </c>
      <c r="H1035">
        <v>1</v>
      </c>
      <c r="I1035">
        <v>1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f t="shared" si="48"/>
        <v>4</v>
      </c>
      <c r="U1035">
        <f t="shared" si="49"/>
        <v>1</v>
      </c>
      <c r="V1035" t="b">
        <f t="shared" si="50"/>
        <v>0</v>
      </c>
    </row>
    <row r="1036" spans="1:22" x14ac:dyDescent="0.3">
      <c r="A1036" t="s">
        <v>2482</v>
      </c>
      <c r="B1036">
        <v>2024</v>
      </c>
      <c r="C1036" t="s">
        <v>2483</v>
      </c>
      <c r="D1036" t="s">
        <v>21</v>
      </c>
      <c r="E1036" t="s">
        <v>2484</v>
      </c>
      <c r="G1036" t="s">
        <v>2345</v>
      </c>
      <c r="H1036">
        <v>1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f t="shared" si="48"/>
        <v>2</v>
      </c>
      <c r="U1036">
        <f t="shared" si="49"/>
        <v>1</v>
      </c>
      <c r="V1036" t="b">
        <f t="shared" si="50"/>
        <v>0</v>
      </c>
    </row>
    <row r="1037" spans="1:22" x14ac:dyDescent="0.3">
      <c r="A1037" t="s">
        <v>2485</v>
      </c>
      <c r="B1037">
        <v>2024</v>
      </c>
      <c r="C1037" t="s">
        <v>2486</v>
      </c>
      <c r="D1037" t="s">
        <v>21</v>
      </c>
      <c r="E1037" t="s">
        <v>2487</v>
      </c>
      <c r="G1037" t="s">
        <v>2345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f t="shared" si="48"/>
        <v>2</v>
      </c>
      <c r="U1037">
        <f t="shared" si="49"/>
        <v>1</v>
      </c>
      <c r="V1037" t="b">
        <f t="shared" si="50"/>
        <v>0</v>
      </c>
    </row>
    <row r="1038" spans="1:22" x14ac:dyDescent="0.3">
      <c r="A1038" t="s">
        <v>2488</v>
      </c>
      <c r="B1038">
        <v>2023</v>
      </c>
      <c r="C1038" t="s">
        <v>2489</v>
      </c>
      <c r="D1038" t="s">
        <v>21</v>
      </c>
      <c r="E1038" t="s">
        <v>2490</v>
      </c>
      <c r="G1038" t="s">
        <v>2345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f t="shared" si="48"/>
        <v>1</v>
      </c>
      <c r="U1038">
        <f t="shared" si="49"/>
        <v>1</v>
      </c>
      <c r="V1038" t="b">
        <f t="shared" si="50"/>
        <v>0</v>
      </c>
    </row>
    <row r="1039" spans="1:22" x14ac:dyDescent="0.3">
      <c r="A1039" t="s">
        <v>2491</v>
      </c>
      <c r="B1039">
        <v>2023</v>
      </c>
      <c r="C1039" t="s">
        <v>2408</v>
      </c>
      <c r="D1039" t="s">
        <v>29</v>
      </c>
      <c r="E1039" t="s">
        <v>2492</v>
      </c>
      <c r="G1039" t="s">
        <v>2345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f t="shared" si="48"/>
        <v>1</v>
      </c>
      <c r="U1039">
        <f t="shared" si="49"/>
        <v>1</v>
      </c>
      <c r="V1039" t="b">
        <f t="shared" si="50"/>
        <v>0</v>
      </c>
    </row>
    <row r="1040" spans="1:22" x14ac:dyDescent="0.3">
      <c r="A1040" t="s">
        <v>2493</v>
      </c>
      <c r="B1040">
        <v>2023</v>
      </c>
      <c r="C1040" t="s">
        <v>2494</v>
      </c>
      <c r="D1040" t="s">
        <v>21</v>
      </c>
      <c r="E1040" t="s">
        <v>2495</v>
      </c>
      <c r="G1040" t="s">
        <v>2345</v>
      </c>
      <c r="H1040">
        <v>0</v>
      </c>
      <c r="I1040">
        <v>1</v>
      </c>
      <c r="J1040">
        <v>1</v>
      </c>
      <c r="K1040">
        <v>0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1</v>
      </c>
      <c r="S1040">
        <v>1</v>
      </c>
      <c r="T1040">
        <f t="shared" si="48"/>
        <v>3</v>
      </c>
      <c r="U1040">
        <f t="shared" si="49"/>
        <v>2</v>
      </c>
      <c r="V1040" t="b">
        <f t="shared" si="50"/>
        <v>0</v>
      </c>
    </row>
    <row r="1041" spans="1:22" x14ac:dyDescent="0.3">
      <c r="A1041" t="s">
        <v>2496</v>
      </c>
      <c r="B1041">
        <v>2023</v>
      </c>
      <c r="C1041" t="s">
        <v>2497</v>
      </c>
      <c r="D1041" t="s">
        <v>21</v>
      </c>
      <c r="E1041" t="s">
        <v>2498</v>
      </c>
      <c r="G1041" t="s">
        <v>2345</v>
      </c>
      <c r="H1041">
        <v>1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f t="shared" si="48"/>
        <v>2</v>
      </c>
      <c r="U1041">
        <f t="shared" si="49"/>
        <v>1</v>
      </c>
      <c r="V1041" t="b">
        <f t="shared" si="50"/>
        <v>0</v>
      </c>
    </row>
    <row r="1042" spans="1:22" x14ac:dyDescent="0.3">
      <c r="A1042" t="s">
        <v>2499</v>
      </c>
      <c r="B1042">
        <v>2023</v>
      </c>
      <c r="C1042" t="s">
        <v>2500</v>
      </c>
      <c r="D1042" t="s">
        <v>323</v>
      </c>
      <c r="E1042" t="s">
        <v>2501</v>
      </c>
      <c r="G1042" t="s">
        <v>2345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f t="shared" si="48"/>
        <v>1</v>
      </c>
      <c r="U1042">
        <f t="shared" si="49"/>
        <v>1</v>
      </c>
      <c r="V1042" t="b">
        <f t="shared" si="50"/>
        <v>0</v>
      </c>
    </row>
    <row r="1043" spans="1:22" x14ac:dyDescent="0.3">
      <c r="A1043" t="s">
        <v>2502</v>
      </c>
      <c r="B1043">
        <v>2022</v>
      </c>
      <c r="C1043" t="s">
        <v>2503</v>
      </c>
      <c r="D1043" t="s">
        <v>323</v>
      </c>
      <c r="E1043" t="s">
        <v>2504</v>
      </c>
      <c r="G1043" t="s">
        <v>2345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f t="shared" si="48"/>
        <v>5</v>
      </c>
      <c r="U1043">
        <f t="shared" si="49"/>
        <v>1</v>
      </c>
      <c r="V1043" t="b">
        <f t="shared" si="50"/>
        <v>1</v>
      </c>
    </row>
    <row r="1044" spans="1:22" x14ac:dyDescent="0.3">
      <c r="A1044" t="s">
        <v>2505</v>
      </c>
      <c r="B1044">
        <v>2022</v>
      </c>
      <c r="C1044" t="s">
        <v>2355</v>
      </c>
      <c r="D1044" t="s">
        <v>323</v>
      </c>
      <c r="E1044" t="s">
        <v>2275</v>
      </c>
      <c r="G1044" t="s">
        <v>2345</v>
      </c>
      <c r="H1044">
        <v>1</v>
      </c>
      <c r="I1044">
        <v>1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f t="shared" si="48"/>
        <v>4</v>
      </c>
      <c r="U1044">
        <f t="shared" si="49"/>
        <v>2</v>
      </c>
      <c r="V1044" t="b">
        <f t="shared" si="50"/>
        <v>0</v>
      </c>
    </row>
    <row r="1045" spans="1:22" x14ac:dyDescent="0.3">
      <c r="A1045" t="s">
        <v>2506</v>
      </c>
      <c r="B1045">
        <v>2022</v>
      </c>
      <c r="C1045" t="s">
        <v>2338</v>
      </c>
      <c r="D1045" t="s">
        <v>21</v>
      </c>
      <c r="E1045" t="s">
        <v>2507</v>
      </c>
      <c r="G1045" t="s">
        <v>2345</v>
      </c>
      <c r="H1045">
        <v>1</v>
      </c>
      <c r="I1045">
        <v>1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f t="shared" si="48"/>
        <v>4</v>
      </c>
      <c r="U1045">
        <f t="shared" si="49"/>
        <v>1</v>
      </c>
      <c r="V1045" t="b">
        <f t="shared" si="50"/>
        <v>0</v>
      </c>
    </row>
    <row r="1046" spans="1:22" x14ac:dyDescent="0.3">
      <c r="A1046" t="s">
        <v>2508</v>
      </c>
      <c r="B1046">
        <v>2022</v>
      </c>
      <c r="C1046" t="s">
        <v>2338</v>
      </c>
      <c r="D1046" t="s">
        <v>21</v>
      </c>
      <c r="E1046" t="s">
        <v>2509</v>
      </c>
      <c r="G1046" t="s">
        <v>2345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f t="shared" si="48"/>
        <v>3</v>
      </c>
      <c r="U1046">
        <f t="shared" si="49"/>
        <v>1</v>
      </c>
      <c r="V1046" t="b">
        <f t="shared" si="50"/>
        <v>0</v>
      </c>
    </row>
    <row r="1047" spans="1:22" x14ac:dyDescent="0.3">
      <c r="A1047" t="s">
        <v>2510</v>
      </c>
      <c r="B1047">
        <v>2022</v>
      </c>
      <c r="C1047" t="s">
        <v>2374</v>
      </c>
      <c r="D1047" t="s">
        <v>323</v>
      </c>
      <c r="E1047" t="s">
        <v>2511</v>
      </c>
      <c r="G1047" t="s">
        <v>2345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f t="shared" si="48"/>
        <v>1</v>
      </c>
      <c r="U1047">
        <f t="shared" si="49"/>
        <v>1</v>
      </c>
      <c r="V1047" t="b">
        <f t="shared" si="50"/>
        <v>0</v>
      </c>
    </row>
    <row r="1048" spans="1:22" x14ac:dyDescent="0.3">
      <c r="A1048" t="s">
        <v>2512</v>
      </c>
      <c r="B1048">
        <v>2022</v>
      </c>
      <c r="C1048" t="s">
        <v>2343</v>
      </c>
      <c r="D1048" t="s">
        <v>29</v>
      </c>
      <c r="E1048" t="s">
        <v>2513</v>
      </c>
      <c r="G1048" t="s">
        <v>2345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f t="shared" si="48"/>
        <v>1</v>
      </c>
      <c r="U1048">
        <f t="shared" si="49"/>
        <v>1</v>
      </c>
      <c r="V1048" t="b">
        <f t="shared" si="50"/>
        <v>0</v>
      </c>
    </row>
    <row r="1049" spans="1:22" x14ac:dyDescent="0.3">
      <c r="A1049" t="s">
        <v>2514</v>
      </c>
      <c r="B1049">
        <v>2022</v>
      </c>
      <c r="C1049" t="s">
        <v>2338</v>
      </c>
      <c r="D1049" t="s">
        <v>21</v>
      </c>
      <c r="E1049" t="s">
        <v>2515</v>
      </c>
      <c r="G1049" t="s">
        <v>2345</v>
      </c>
      <c r="H1049">
        <v>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f t="shared" si="48"/>
        <v>2</v>
      </c>
      <c r="U1049">
        <f t="shared" si="49"/>
        <v>1</v>
      </c>
      <c r="V1049" t="b">
        <f t="shared" si="50"/>
        <v>0</v>
      </c>
    </row>
    <row r="1050" spans="1:22" x14ac:dyDescent="0.3">
      <c r="A1050" t="s">
        <v>2516</v>
      </c>
      <c r="B1050">
        <v>2022</v>
      </c>
      <c r="C1050" t="s">
        <v>2517</v>
      </c>
      <c r="D1050" t="s">
        <v>21</v>
      </c>
      <c r="E1050" t="s">
        <v>2518</v>
      </c>
      <c r="G1050" t="s">
        <v>2345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1</v>
      </c>
      <c r="S1050">
        <v>0</v>
      </c>
      <c r="T1050">
        <f t="shared" si="48"/>
        <v>2</v>
      </c>
      <c r="U1050">
        <f t="shared" si="49"/>
        <v>2</v>
      </c>
      <c r="V1050" t="b">
        <f t="shared" si="50"/>
        <v>0</v>
      </c>
    </row>
    <row r="1051" spans="1:22" x14ac:dyDescent="0.3">
      <c r="A1051" t="s">
        <v>2519</v>
      </c>
      <c r="B1051">
        <v>2022</v>
      </c>
      <c r="C1051" t="s">
        <v>2338</v>
      </c>
      <c r="D1051" t="s">
        <v>21</v>
      </c>
      <c r="E1051" t="s">
        <v>2520</v>
      </c>
      <c r="G1051" t="s">
        <v>2345</v>
      </c>
      <c r="H1051">
        <v>1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f t="shared" si="48"/>
        <v>3</v>
      </c>
      <c r="U1051">
        <f t="shared" si="49"/>
        <v>1</v>
      </c>
      <c r="V1051" t="b">
        <f t="shared" si="50"/>
        <v>0</v>
      </c>
    </row>
    <row r="1052" spans="1:22" x14ac:dyDescent="0.3">
      <c r="A1052" t="s">
        <v>2521</v>
      </c>
      <c r="B1052">
        <v>2022</v>
      </c>
      <c r="C1052" t="s">
        <v>2338</v>
      </c>
      <c r="D1052" t="s">
        <v>21</v>
      </c>
      <c r="E1052" t="s">
        <v>2522</v>
      </c>
      <c r="G1052" t="s">
        <v>2345</v>
      </c>
      <c r="H1052">
        <v>1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f t="shared" si="48"/>
        <v>2</v>
      </c>
      <c r="U1052">
        <f t="shared" si="49"/>
        <v>1</v>
      </c>
      <c r="V1052" t="b">
        <f t="shared" si="50"/>
        <v>0</v>
      </c>
    </row>
    <row r="1053" spans="1:22" x14ac:dyDescent="0.3">
      <c r="A1053" t="s">
        <v>2523</v>
      </c>
      <c r="B1053">
        <v>2022</v>
      </c>
      <c r="C1053" t="s">
        <v>2338</v>
      </c>
      <c r="D1053" t="s">
        <v>21</v>
      </c>
      <c r="E1053" t="s">
        <v>2524</v>
      </c>
      <c r="G1053" t="s">
        <v>2345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f t="shared" si="48"/>
        <v>2</v>
      </c>
      <c r="U1053">
        <f t="shared" si="49"/>
        <v>1</v>
      </c>
      <c r="V1053" t="b">
        <f t="shared" si="50"/>
        <v>0</v>
      </c>
    </row>
    <row r="1054" spans="1:22" x14ac:dyDescent="0.3">
      <c r="A1054" t="s">
        <v>2525</v>
      </c>
      <c r="B1054">
        <v>2022</v>
      </c>
      <c r="C1054" t="s">
        <v>2472</v>
      </c>
      <c r="D1054" t="s">
        <v>29</v>
      </c>
      <c r="E1054" t="s">
        <v>2526</v>
      </c>
      <c r="G1054" t="s">
        <v>2345</v>
      </c>
      <c r="H1054">
        <v>0</v>
      </c>
      <c r="I1054">
        <v>0</v>
      </c>
      <c r="J1054">
        <v>1</v>
      </c>
      <c r="K1054">
        <v>0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f t="shared" si="48"/>
        <v>2</v>
      </c>
      <c r="U1054">
        <f t="shared" si="49"/>
        <v>1</v>
      </c>
      <c r="V1054" t="b">
        <f t="shared" si="50"/>
        <v>0</v>
      </c>
    </row>
    <row r="1055" spans="1:22" x14ac:dyDescent="0.3">
      <c r="A1055" t="s">
        <v>2527</v>
      </c>
      <c r="B1055">
        <v>2022</v>
      </c>
      <c r="C1055" t="s">
        <v>2528</v>
      </c>
      <c r="D1055" t="s">
        <v>21</v>
      </c>
      <c r="E1055" t="s">
        <v>2529</v>
      </c>
      <c r="G1055" t="s">
        <v>2345</v>
      </c>
      <c r="H1055">
        <v>1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f t="shared" si="48"/>
        <v>3</v>
      </c>
      <c r="U1055">
        <f t="shared" si="49"/>
        <v>1</v>
      </c>
      <c r="V1055" t="b">
        <f t="shared" si="50"/>
        <v>0</v>
      </c>
    </row>
    <row r="1056" spans="1:22" x14ac:dyDescent="0.3">
      <c r="A1056" t="s">
        <v>2530</v>
      </c>
      <c r="B1056">
        <v>2022</v>
      </c>
      <c r="C1056" t="s">
        <v>2531</v>
      </c>
      <c r="D1056" t="s">
        <v>323</v>
      </c>
      <c r="E1056" t="s">
        <v>2532</v>
      </c>
      <c r="G1056" t="s">
        <v>2345</v>
      </c>
      <c r="H1056">
        <v>1</v>
      </c>
      <c r="I1056">
        <v>1</v>
      </c>
      <c r="J1056">
        <v>0</v>
      </c>
      <c r="K1056">
        <v>1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f t="shared" si="48"/>
        <v>4</v>
      </c>
      <c r="U1056">
        <f t="shared" si="49"/>
        <v>1</v>
      </c>
      <c r="V1056" t="b">
        <f t="shared" si="50"/>
        <v>0</v>
      </c>
    </row>
    <row r="1057" spans="1:22" x14ac:dyDescent="0.3">
      <c r="A1057" t="s">
        <v>2533</v>
      </c>
      <c r="B1057">
        <v>2022</v>
      </c>
      <c r="C1057" t="s">
        <v>2534</v>
      </c>
      <c r="D1057" t="s">
        <v>323</v>
      </c>
      <c r="E1057" t="s">
        <v>2535</v>
      </c>
      <c r="G1057" t="s">
        <v>2345</v>
      </c>
      <c r="H1057">
        <v>1</v>
      </c>
      <c r="I1057">
        <v>0</v>
      </c>
      <c r="J1057">
        <v>1</v>
      </c>
      <c r="K1057">
        <v>0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f t="shared" si="48"/>
        <v>3</v>
      </c>
      <c r="U1057">
        <f t="shared" si="49"/>
        <v>1</v>
      </c>
      <c r="V1057" t="b">
        <f t="shared" si="50"/>
        <v>0</v>
      </c>
    </row>
    <row r="1058" spans="1:22" x14ac:dyDescent="0.3">
      <c r="A1058" t="s">
        <v>2536</v>
      </c>
      <c r="B1058">
        <v>2021</v>
      </c>
      <c r="C1058" t="s">
        <v>2537</v>
      </c>
      <c r="D1058" t="s">
        <v>21</v>
      </c>
      <c r="E1058" t="s">
        <v>2538</v>
      </c>
      <c r="G1058" t="s">
        <v>2345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f t="shared" si="48"/>
        <v>1</v>
      </c>
      <c r="U1058">
        <f t="shared" si="49"/>
        <v>1</v>
      </c>
      <c r="V1058" t="b">
        <f t="shared" si="50"/>
        <v>0</v>
      </c>
    </row>
    <row r="1059" spans="1:22" x14ac:dyDescent="0.3">
      <c r="A1059" t="s">
        <v>2539</v>
      </c>
      <c r="B1059">
        <v>2021</v>
      </c>
      <c r="C1059" t="s">
        <v>2540</v>
      </c>
      <c r="D1059" t="s">
        <v>29</v>
      </c>
      <c r="E1059" t="s">
        <v>2541</v>
      </c>
      <c r="G1059" t="s">
        <v>2345</v>
      </c>
      <c r="H1059">
        <v>0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</v>
      </c>
      <c r="S1059">
        <v>0</v>
      </c>
      <c r="T1059">
        <f t="shared" si="48"/>
        <v>2</v>
      </c>
      <c r="U1059">
        <f t="shared" si="49"/>
        <v>2</v>
      </c>
      <c r="V1059" t="b">
        <f t="shared" si="50"/>
        <v>0</v>
      </c>
    </row>
    <row r="1060" spans="1:22" x14ac:dyDescent="0.3">
      <c r="A1060" t="s">
        <v>2542</v>
      </c>
      <c r="B1060">
        <v>2021</v>
      </c>
      <c r="C1060" t="s">
        <v>2343</v>
      </c>
      <c r="D1060" t="s">
        <v>29</v>
      </c>
      <c r="E1060" t="s">
        <v>2543</v>
      </c>
      <c r="G1060" t="s">
        <v>2345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f t="shared" si="48"/>
        <v>1</v>
      </c>
      <c r="U1060">
        <f t="shared" si="49"/>
        <v>1</v>
      </c>
      <c r="V1060" t="b">
        <f t="shared" si="50"/>
        <v>0</v>
      </c>
    </row>
    <row r="1061" spans="1:22" x14ac:dyDescent="0.3">
      <c r="A1061" t="s">
        <v>2544</v>
      </c>
      <c r="B1061">
        <v>2021</v>
      </c>
      <c r="C1061" t="s">
        <v>2540</v>
      </c>
      <c r="D1061" t="s">
        <v>29</v>
      </c>
      <c r="E1061" t="s">
        <v>2545</v>
      </c>
      <c r="G1061" t="s">
        <v>2345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f t="shared" si="48"/>
        <v>1</v>
      </c>
      <c r="U1061">
        <f t="shared" si="49"/>
        <v>1</v>
      </c>
      <c r="V1061" t="b">
        <f t="shared" si="50"/>
        <v>0</v>
      </c>
    </row>
    <row r="1062" spans="1:22" x14ac:dyDescent="0.3">
      <c r="A1062" t="s">
        <v>2546</v>
      </c>
      <c r="B1062">
        <v>2021</v>
      </c>
      <c r="C1062" t="s">
        <v>2537</v>
      </c>
      <c r="D1062" t="s">
        <v>21</v>
      </c>
      <c r="E1062" t="s">
        <v>2547</v>
      </c>
      <c r="G1062" t="s">
        <v>2345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f t="shared" si="48"/>
        <v>1</v>
      </c>
      <c r="U1062">
        <f t="shared" si="49"/>
        <v>1</v>
      </c>
      <c r="V1062" t="b">
        <f t="shared" si="50"/>
        <v>0</v>
      </c>
    </row>
    <row r="1063" spans="1:22" x14ac:dyDescent="0.3">
      <c r="A1063" t="s">
        <v>2548</v>
      </c>
      <c r="B1063">
        <v>2021</v>
      </c>
      <c r="C1063" t="s">
        <v>2537</v>
      </c>
      <c r="D1063" t="s">
        <v>21</v>
      </c>
      <c r="E1063" t="s">
        <v>2549</v>
      </c>
      <c r="G1063" t="s">
        <v>2345</v>
      </c>
      <c r="H1063">
        <v>0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f t="shared" si="48"/>
        <v>2</v>
      </c>
      <c r="U1063">
        <f t="shared" si="49"/>
        <v>1</v>
      </c>
      <c r="V1063" t="b">
        <f t="shared" si="50"/>
        <v>0</v>
      </c>
    </row>
    <row r="1064" spans="1:22" x14ac:dyDescent="0.3">
      <c r="A1064" t="s">
        <v>2550</v>
      </c>
      <c r="B1064">
        <v>2021</v>
      </c>
      <c r="C1064" t="s">
        <v>2551</v>
      </c>
      <c r="D1064" t="s">
        <v>21</v>
      </c>
      <c r="E1064" t="s">
        <v>2552</v>
      </c>
      <c r="G1064" t="s">
        <v>2345</v>
      </c>
      <c r="H1064">
        <v>1</v>
      </c>
      <c r="I1064">
        <v>0</v>
      </c>
      <c r="J1064">
        <v>1</v>
      </c>
      <c r="K1064">
        <v>0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f t="shared" si="48"/>
        <v>3</v>
      </c>
      <c r="U1064">
        <f t="shared" si="49"/>
        <v>1</v>
      </c>
      <c r="V1064" t="b">
        <f t="shared" si="50"/>
        <v>0</v>
      </c>
    </row>
    <row r="1065" spans="1:22" x14ac:dyDescent="0.3">
      <c r="A1065" t="s">
        <v>2553</v>
      </c>
      <c r="B1065">
        <v>2020</v>
      </c>
      <c r="C1065" t="s">
        <v>2343</v>
      </c>
      <c r="D1065" t="s">
        <v>29</v>
      </c>
      <c r="E1065" t="s">
        <v>2554</v>
      </c>
      <c r="G1065" t="s">
        <v>2345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f t="shared" si="48"/>
        <v>1</v>
      </c>
      <c r="U1065">
        <f t="shared" si="49"/>
        <v>1</v>
      </c>
      <c r="V1065" t="b">
        <f t="shared" si="50"/>
        <v>0</v>
      </c>
    </row>
    <row r="1066" spans="1:22" x14ac:dyDescent="0.3">
      <c r="A1066" t="s">
        <v>2555</v>
      </c>
      <c r="B1066">
        <v>2020</v>
      </c>
      <c r="C1066" t="s">
        <v>2343</v>
      </c>
      <c r="D1066" t="s">
        <v>29</v>
      </c>
      <c r="E1066" t="s">
        <v>2556</v>
      </c>
      <c r="G1066" t="s">
        <v>2345</v>
      </c>
      <c r="H1066">
        <v>0</v>
      </c>
      <c r="I1066">
        <v>1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f t="shared" si="48"/>
        <v>2</v>
      </c>
      <c r="U1066">
        <f t="shared" si="49"/>
        <v>2</v>
      </c>
      <c r="V1066" t="b">
        <f t="shared" si="50"/>
        <v>0</v>
      </c>
    </row>
    <row r="1067" spans="1:22" x14ac:dyDescent="0.3">
      <c r="A1067" t="s">
        <v>2557</v>
      </c>
      <c r="B1067">
        <v>2019</v>
      </c>
      <c r="C1067" t="s">
        <v>2558</v>
      </c>
      <c r="D1067" t="s">
        <v>21</v>
      </c>
      <c r="E1067" t="s">
        <v>2559</v>
      </c>
      <c r="G1067" t="s">
        <v>2345</v>
      </c>
      <c r="H1067">
        <v>1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f t="shared" si="48"/>
        <v>2</v>
      </c>
      <c r="U1067">
        <f t="shared" si="49"/>
        <v>1</v>
      </c>
      <c r="V1067" t="b">
        <f t="shared" si="50"/>
        <v>0</v>
      </c>
    </row>
    <row r="1068" spans="1:22" x14ac:dyDescent="0.3">
      <c r="A1068" t="s">
        <v>2560</v>
      </c>
      <c r="B1068">
        <v>2019</v>
      </c>
      <c r="C1068" t="s">
        <v>2558</v>
      </c>
      <c r="D1068" t="s">
        <v>21</v>
      </c>
      <c r="E1068" t="s">
        <v>2561</v>
      </c>
      <c r="G1068" t="s">
        <v>2345</v>
      </c>
      <c r="H1068">
        <v>1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f t="shared" si="48"/>
        <v>2</v>
      </c>
      <c r="U1068">
        <f t="shared" si="49"/>
        <v>1</v>
      </c>
      <c r="V1068" t="b">
        <f t="shared" si="50"/>
        <v>0</v>
      </c>
    </row>
    <row r="1069" spans="1:22" x14ac:dyDescent="0.3">
      <c r="A1069" t="s">
        <v>2562</v>
      </c>
      <c r="B1069">
        <v>2019</v>
      </c>
      <c r="C1069" t="s">
        <v>2558</v>
      </c>
      <c r="D1069" t="s">
        <v>21</v>
      </c>
      <c r="E1069" t="s">
        <v>2563</v>
      </c>
      <c r="G1069" t="s">
        <v>2345</v>
      </c>
      <c r="H1069">
        <v>1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f t="shared" si="48"/>
        <v>2</v>
      </c>
      <c r="U1069">
        <f t="shared" si="49"/>
        <v>1</v>
      </c>
      <c r="V1069" t="b">
        <f t="shared" si="50"/>
        <v>0</v>
      </c>
    </row>
    <row r="1070" spans="1:22" x14ac:dyDescent="0.3">
      <c r="A1070" t="s">
        <v>2564</v>
      </c>
      <c r="B1070">
        <v>2019</v>
      </c>
      <c r="C1070" t="s">
        <v>2352</v>
      </c>
      <c r="D1070" t="s">
        <v>29</v>
      </c>
      <c r="E1070" t="s">
        <v>2565</v>
      </c>
      <c r="G1070" t="s">
        <v>2345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f t="shared" si="48"/>
        <v>1</v>
      </c>
      <c r="U1070">
        <f t="shared" si="49"/>
        <v>1</v>
      </c>
      <c r="V1070" t="b">
        <f t="shared" si="50"/>
        <v>0</v>
      </c>
    </row>
    <row r="1071" spans="1:22" x14ac:dyDescent="0.3">
      <c r="A1071" t="s">
        <v>2566</v>
      </c>
      <c r="B1071">
        <v>2018</v>
      </c>
      <c r="C1071" t="s">
        <v>2567</v>
      </c>
      <c r="D1071" t="s">
        <v>21</v>
      </c>
      <c r="E1071" t="s">
        <v>2568</v>
      </c>
      <c r="G1071" t="s">
        <v>2345</v>
      </c>
      <c r="H1071">
        <v>1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f t="shared" si="48"/>
        <v>2</v>
      </c>
      <c r="U1071">
        <f t="shared" si="49"/>
        <v>1</v>
      </c>
      <c r="V1071" t="b">
        <f t="shared" si="50"/>
        <v>0</v>
      </c>
    </row>
    <row r="1072" spans="1:22" x14ac:dyDescent="0.3">
      <c r="A1072" t="s">
        <v>2569</v>
      </c>
      <c r="B1072">
        <v>2018</v>
      </c>
      <c r="C1072" t="s">
        <v>2567</v>
      </c>
      <c r="D1072" t="s">
        <v>21</v>
      </c>
      <c r="E1072" t="s">
        <v>2570</v>
      </c>
      <c r="G1072" t="s">
        <v>2345</v>
      </c>
      <c r="H1072">
        <v>1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f t="shared" si="48"/>
        <v>2</v>
      </c>
      <c r="U1072">
        <f t="shared" si="49"/>
        <v>1</v>
      </c>
      <c r="V1072" t="b">
        <f t="shared" si="50"/>
        <v>0</v>
      </c>
    </row>
    <row r="1073" spans="1:22" x14ac:dyDescent="0.3">
      <c r="A1073" t="s">
        <v>2571</v>
      </c>
      <c r="B1073">
        <v>2018</v>
      </c>
      <c r="C1073" t="s">
        <v>2572</v>
      </c>
      <c r="D1073" t="s">
        <v>21</v>
      </c>
      <c r="E1073" t="s">
        <v>2573</v>
      </c>
      <c r="G1073" t="s">
        <v>2345</v>
      </c>
      <c r="H1073">
        <v>1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f t="shared" si="48"/>
        <v>2</v>
      </c>
      <c r="U1073">
        <f t="shared" si="49"/>
        <v>1</v>
      </c>
      <c r="V1073" t="b">
        <f t="shared" si="50"/>
        <v>0</v>
      </c>
    </row>
    <row r="1074" spans="1:22" x14ac:dyDescent="0.3">
      <c r="A1074" t="s">
        <v>2574</v>
      </c>
      <c r="B1074">
        <v>2017</v>
      </c>
      <c r="C1074" t="s">
        <v>2575</v>
      </c>
      <c r="D1074" t="s">
        <v>21</v>
      </c>
      <c r="E1074" t="s">
        <v>2576</v>
      </c>
      <c r="G1074" t="s">
        <v>2345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f t="shared" si="48"/>
        <v>3</v>
      </c>
      <c r="U1074">
        <f t="shared" si="49"/>
        <v>1</v>
      </c>
      <c r="V1074" t="b">
        <f t="shared" si="50"/>
        <v>0</v>
      </c>
    </row>
    <row r="1075" spans="1:22" x14ac:dyDescent="0.3">
      <c r="A1075" t="s">
        <v>2577</v>
      </c>
      <c r="B1075">
        <v>2017</v>
      </c>
      <c r="C1075" t="s">
        <v>2575</v>
      </c>
      <c r="D1075" t="s">
        <v>21</v>
      </c>
      <c r="E1075" t="s">
        <v>2578</v>
      </c>
      <c r="G1075" t="s">
        <v>2345</v>
      </c>
      <c r="H1075">
        <v>1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f t="shared" si="48"/>
        <v>2</v>
      </c>
      <c r="U1075">
        <f t="shared" si="49"/>
        <v>1</v>
      </c>
      <c r="V1075" t="b">
        <f t="shared" si="50"/>
        <v>0</v>
      </c>
    </row>
    <row r="1076" spans="1:22" x14ac:dyDescent="0.3">
      <c r="A1076" t="s">
        <v>2579</v>
      </c>
      <c r="B1076">
        <v>2017</v>
      </c>
      <c r="C1076" t="s">
        <v>2343</v>
      </c>
      <c r="D1076" t="s">
        <v>29</v>
      </c>
      <c r="E1076" t="s">
        <v>2580</v>
      </c>
      <c r="G1076" t="s">
        <v>2345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f t="shared" si="48"/>
        <v>1</v>
      </c>
      <c r="U1076">
        <f t="shared" si="49"/>
        <v>1</v>
      </c>
      <c r="V1076" t="b">
        <f t="shared" si="50"/>
        <v>0</v>
      </c>
    </row>
    <row r="1077" spans="1:22" x14ac:dyDescent="0.3">
      <c r="A1077" t="s">
        <v>2581</v>
      </c>
      <c r="B1077">
        <v>2017</v>
      </c>
      <c r="C1077" t="s">
        <v>2575</v>
      </c>
      <c r="D1077" t="s">
        <v>21</v>
      </c>
      <c r="E1077" t="s">
        <v>2582</v>
      </c>
      <c r="G1077" t="s">
        <v>2345</v>
      </c>
      <c r="H1077">
        <v>1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f t="shared" si="48"/>
        <v>2</v>
      </c>
      <c r="U1077">
        <f t="shared" si="49"/>
        <v>1</v>
      </c>
      <c r="V1077" t="b">
        <f t="shared" si="50"/>
        <v>0</v>
      </c>
    </row>
    <row r="1078" spans="1:22" x14ac:dyDescent="0.3">
      <c r="A1078" t="s">
        <v>2583</v>
      </c>
      <c r="B1078">
        <v>2016</v>
      </c>
      <c r="C1078" t="s">
        <v>2584</v>
      </c>
      <c r="D1078" t="s">
        <v>21</v>
      </c>
      <c r="E1078" t="s">
        <v>2585</v>
      </c>
      <c r="G1078" t="s">
        <v>2345</v>
      </c>
      <c r="H1078">
        <v>1</v>
      </c>
      <c r="I1078">
        <v>1</v>
      </c>
      <c r="J1078">
        <v>0</v>
      </c>
      <c r="K1078">
        <v>1</v>
      </c>
      <c r="L1078">
        <v>1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f t="shared" si="48"/>
        <v>4</v>
      </c>
      <c r="U1078">
        <f t="shared" si="49"/>
        <v>1</v>
      </c>
      <c r="V1078" t="b">
        <f t="shared" si="50"/>
        <v>0</v>
      </c>
    </row>
    <row r="1079" spans="1:22" x14ac:dyDescent="0.3">
      <c r="A1079" t="s">
        <v>2586</v>
      </c>
      <c r="B1079">
        <v>2016</v>
      </c>
      <c r="C1079" t="s">
        <v>2587</v>
      </c>
      <c r="D1079" t="s">
        <v>21</v>
      </c>
      <c r="E1079" t="s">
        <v>2588</v>
      </c>
      <c r="G1079" t="s">
        <v>2345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f t="shared" si="48"/>
        <v>2</v>
      </c>
      <c r="U1079">
        <f t="shared" si="49"/>
        <v>1</v>
      </c>
      <c r="V1079" t="b">
        <f t="shared" si="50"/>
        <v>0</v>
      </c>
    </row>
    <row r="1080" spans="1:22" x14ac:dyDescent="0.3">
      <c r="A1080" t="s">
        <v>2589</v>
      </c>
      <c r="B1080">
        <v>2021</v>
      </c>
      <c r="C1080" t="s">
        <v>2590</v>
      </c>
      <c r="D1080" t="s">
        <v>29</v>
      </c>
      <c r="G1080" t="s">
        <v>2345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1</v>
      </c>
      <c r="S1080">
        <v>0</v>
      </c>
      <c r="T1080">
        <f t="shared" si="48"/>
        <v>2</v>
      </c>
      <c r="U1080">
        <f t="shared" si="49"/>
        <v>2</v>
      </c>
      <c r="V1080" t="b">
        <f t="shared" si="50"/>
        <v>0</v>
      </c>
    </row>
    <row r="1081" spans="1:22" x14ac:dyDescent="0.3">
      <c r="A1081" t="s">
        <v>2591</v>
      </c>
      <c r="B1081">
        <v>2020</v>
      </c>
      <c r="C1081" t="s">
        <v>2592</v>
      </c>
      <c r="D1081" t="s">
        <v>21</v>
      </c>
      <c r="G1081" t="s">
        <v>2345</v>
      </c>
      <c r="H1081">
        <v>1</v>
      </c>
      <c r="I1081">
        <v>1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f t="shared" si="48"/>
        <v>4</v>
      </c>
      <c r="U1081">
        <f t="shared" si="49"/>
        <v>1</v>
      </c>
      <c r="V1081" t="b">
        <f t="shared" si="50"/>
        <v>0</v>
      </c>
    </row>
    <row r="1082" spans="1:22" x14ac:dyDescent="0.3">
      <c r="A1082" t="s">
        <v>2593</v>
      </c>
      <c r="B1082">
        <v>2020</v>
      </c>
      <c r="C1082" t="s">
        <v>2592</v>
      </c>
      <c r="D1082" t="s">
        <v>21</v>
      </c>
      <c r="G1082" t="s">
        <v>2345</v>
      </c>
      <c r="H1082">
        <v>1</v>
      </c>
      <c r="I1082">
        <v>1</v>
      </c>
      <c r="J1082">
        <v>0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f t="shared" si="48"/>
        <v>4</v>
      </c>
      <c r="U1082">
        <f t="shared" si="49"/>
        <v>1</v>
      </c>
      <c r="V1082" t="b">
        <f t="shared" si="50"/>
        <v>0</v>
      </c>
    </row>
    <row r="1083" spans="1:22" x14ac:dyDescent="0.3">
      <c r="A1083" t="s">
        <v>2594</v>
      </c>
      <c r="B1083">
        <v>2020</v>
      </c>
      <c r="C1083" t="s">
        <v>2592</v>
      </c>
      <c r="D1083" t="s">
        <v>21</v>
      </c>
      <c r="G1083" t="s">
        <v>2345</v>
      </c>
      <c r="H1083">
        <v>1</v>
      </c>
      <c r="I1083">
        <v>1</v>
      </c>
      <c r="J1083">
        <v>0</v>
      </c>
      <c r="K1083">
        <v>1</v>
      </c>
      <c r="L1083">
        <v>1</v>
      </c>
      <c r="M1083">
        <v>0</v>
      </c>
      <c r="N1083">
        <v>0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f t="shared" si="48"/>
        <v>4</v>
      </c>
      <c r="U1083">
        <f t="shared" si="49"/>
        <v>2</v>
      </c>
      <c r="V1083" t="b">
        <f t="shared" si="50"/>
        <v>0</v>
      </c>
    </row>
    <row r="1084" spans="1:22" x14ac:dyDescent="0.3">
      <c r="A1084" t="s">
        <v>2595</v>
      </c>
      <c r="B1084">
        <v>2020</v>
      </c>
      <c r="C1084" t="s">
        <v>2592</v>
      </c>
      <c r="D1084" t="s">
        <v>21</v>
      </c>
      <c r="G1084" t="s">
        <v>2345</v>
      </c>
      <c r="H1084">
        <v>1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f t="shared" si="48"/>
        <v>2</v>
      </c>
      <c r="U1084">
        <f t="shared" si="49"/>
        <v>1</v>
      </c>
      <c r="V1084" t="b">
        <f>T1084&gt;4</f>
        <v>0</v>
      </c>
    </row>
    <row r="1085" spans="1:22" x14ac:dyDescent="0.3">
      <c r="A1085" t="s">
        <v>2599</v>
      </c>
      <c r="B1085">
        <v>2009</v>
      </c>
      <c r="C1085" t="s">
        <v>2600</v>
      </c>
      <c r="D1085" t="s">
        <v>21</v>
      </c>
      <c r="E1085" t="s">
        <v>2601</v>
      </c>
      <c r="H1085">
        <v>1</v>
      </c>
      <c r="I1085">
        <v>0</v>
      </c>
      <c r="J1085">
        <v>1</v>
      </c>
      <c r="K1085">
        <v>0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3</v>
      </c>
      <c r="U1085">
        <v>1</v>
      </c>
      <c r="V1085" t="b">
        <f t="shared" ref="V1085:V1136" si="51">T1085&gt;4</f>
        <v>0</v>
      </c>
    </row>
    <row r="1086" spans="1:22" x14ac:dyDescent="0.3">
      <c r="A1086" t="s">
        <v>2602</v>
      </c>
      <c r="B1086">
        <v>2013</v>
      </c>
      <c r="C1086" t="s">
        <v>2603</v>
      </c>
      <c r="D1086" t="s">
        <v>21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3</v>
      </c>
      <c r="U1086">
        <v>1</v>
      </c>
      <c r="V1086" t="b">
        <f t="shared" si="51"/>
        <v>0</v>
      </c>
    </row>
    <row r="1087" spans="1:22" x14ac:dyDescent="0.3">
      <c r="A1087" t="s">
        <v>2604</v>
      </c>
      <c r="B1087">
        <v>2014</v>
      </c>
      <c r="C1087" t="s">
        <v>674</v>
      </c>
      <c r="D1087" t="s">
        <v>130</v>
      </c>
      <c r="E1087" t="s">
        <v>2605</v>
      </c>
      <c r="F1087" t="s">
        <v>31</v>
      </c>
      <c r="H1087">
        <v>1</v>
      </c>
      <c r="I1087">
        <v>0</v>
      </c>
      <c r="J1087">
        <v>1</v>
      </c>
      <c r="K1087">
        <v>0</v>
      </c>
      <c r="L1087">
        <v>1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4</v>
      </c>
      <c r="U1087">
        <v>0</v>
      </c>
      <c r="V1087" t="b">
        <f t="shared" si="51"/>
        <v>0</v>
      </c>
    </row>
    <row r="1088" spans="1:22" x14ac:dyDescent="0.3">
      <c r="A1088" t="s">
        <v>2606</v>
      </c>
      <c r="B1088">
        <v>2010</v>
      </c>
      <c r="C1088" t="s">
        <v>2607</v>
      </c>
      <c r="D1088" t="s">
        <v>21</v>
      </c>
      <c r="E1088" t="s">
        <v>2608</v>
      </c>
      <c r="F1088" t="s">
        <v>23</v>
      </c>
      <c r="H1088">
        <v>1</v>
      </c>
      <c r="I1088">
        <v>0</v>
      </c>
      <c r="J1088">
        <v>1</v>
      </c>
      <c r="K1088">
        <v>0</v>
      </c>
      <c r="L1088">
        <v>1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4</v>
      </c>
      <c r="U1088">
        <v>0</v>
      </c>
      <c r="V1088" t="b">
        <f t="shared" si="51"/>
        <v>0</v>
      </c>
    </row>
    <row r="1089" spans="1:23" x14ac:dyDescent="0.3">
      <c r="A1089" t="s">
        <v>2609</v>
      </c>
      <c r="B1089">
        <v>2011</v>
      </c>
      <c r="C1089" t="s">
        <v>2610</v>
      </c>
      <c r="D1089" t="s">
        <v>21</v>
      </c>
      <c r="E1089" t="s">
        <v>2611</v>
      </c>
      <c r="H1089">
        <v>1</v>
      </c>
      <c r="I1089">
        <v>0</v>
      </c>
      <c r="J1089">
        <v>1</v>
      </c>
      <c r="K1089">
        <v>0</v>
      </c>
      <c r="L1089">
        <v>1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3</v>
      </c>
      <c r="U1089">
        <v>1</v>
      </c>
      <c r="V1089" t="b">
        <f t="shared" si="51"/>
        <v>0</v>
      </c>
    </row>
    <row r="1090" spans="1:23" x14ac:dyDescent="0.3">
      <c r="A1090" t="s">
        <v>2612</v>
      </c>
      <c r="B1090">
        <v>2011</v>
      </c>
      <c r="C1090" t="s">
        <v>2613</v>
      </c>
      <c r="D1090" t="s">
        <v>21</v>
      </c>
      <c r="E1090" t="s">
        <v>2614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2</v>
      </c>
      <c r="U1090">
        <v>1</v>
      </c>
      <c r="V1090" t="b">
        <f t="shared" si="51"/>
        <v>0</v>
      </c>
    </row>
    <row r="1091" spans="1:23" x14ac:dyDescent="0.3">
      <c r="A1091" t="s">
        <v>2615</v>
      </c>
      <c r="B1091">
        <v>2022</v>
      </c>
      <c r="C1091" t="s">
        <v>2278</v>
      </c>
      <c r="D1091" t="s">
        <v>21</v>
      </c>
      <c r="E1091" t="s">
        <v>1542</v>
      </c>
      <c r="F1091" t="s">
        <v>35</v>
      </c>
      <c r="H1091">
        <v>1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</v>
      </c>
      <c r="U1091">
        <v>0</v>
      </c>
      <c r="V1091" t="b">
        <f t="shared" si="51"/>
        <v>0</v>
      </c>
    </row>
    <row r="1092" spans="1:23" x14ac:dyDescent="0.3">
      <c r="A1092" t="s">
        <v>2616</v>
      </c>
      <c r="B1092">
        <v>2015</v>
      </c>
      <c r="C1092" t="s">
        <v>2617</v>
      </c>
      <c r="D1092" t="s">
        <v>21</v>
      </c>
      <c r="E1092" t="s">
        <v>2618</v>
      </c>
      <c r="F1092" t="s">
        <v>35</v>
      </c>
      <c r="H1092">
        <v>1</v>
      </c>
      <c r="I1092">
        <v>0</v>
      </c>
      <c r="J1092">
        <v>0</v>
      </c>
      <c r="K1092">
        <v>0</v>
      </c>
      <c r="L1092">
        <v>1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3</v>
      </c>
      <c r="U1092">
        <v>0</v>
      </c>
      <c r="V1092" t="b">
        <f t="shared" si="51"/>
        <v>0</v>
      </c>
    </row>
    <row r="1093" spans="1:23" x14ac:dyDescent="0.3">
      <c r="A1093" t="s">
        <v>2619</v>
      </c>
      <c r="B1093">
        <v>2015</v>
      </c>
      <c r="C1093" t="s">
        <v>2620</v>
      </c>
      <c r="D1093" t="s">
        <v>21</v>
      </c>
      <c r="E1093" t="s">
        <v>2621</v>
      </c>
      <c r="F1093" t="s">
        <v>23</v>
      </c>
      <c r="H1093">
        <v>1</v>
      </c>
      <c r="I1093">
        <v>1</v>
      </c>
      <c r="J1093">
        <v>0</v>
      </c>
      <c r="K1093">
        <v>1</v>
      </c>
      <c r="L1093">
        <v>1</v>
      </c>
      <c r="M1093">
        <v>1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5</v>
      </c>
      <c r="U1093">
        <v>1</v>
      </c>
      <c r="V1093" t="b">
        <v>0</v>
      </c>
    </row>
    <row r="1094" spans="1:23" x14ac:dyDescent="0.3">
      <c r="A1094" t="s">
        <v>2622</v>
      </c>
      <c r="B1094">
        <v>2010</v>
      </c>
      <c r="C1094" t="s">
        <v>133</v>
      </c>
      <c r="D1094" t="s">
        <v>29</v>
      </c>
      <c r="E1094" t="s">
        <v>2623</v>
      </c>
      <c r="F1094" t="s">
        <v>39</v>
      </c>
      <c r="H1094">
        <v>1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3</v>
      </c>
      <c r="U1094">
        <v>0</v>
      </c>
      <c r="V1094" t="b">
        <f t="shared" si="51"/>
        <v>0</v>
      </c>
      <c r="W1094" s="1"/>
    </row>
    <row r="1095" spans="1:23" x14ac:dyDescent="0.3">
      <c r="A1095" t="s">
        <v>2624</v>
      </c>
      <c r="B1095">
        <v>2015</v>
      </c>
      <c r="C1095" t="s">
        <v>2625</v>
      </c>
      <c r="D1095" t="s">
        <v>130</v>
      </c>
      <c r="E1095" t="s">
        <v>2626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2</v>
      </c>
      <c r="U1095">
        <v>1</v>
      </c>
      <c r="V1095" t="b">
        <f t="shared" si="51"/>
        <v>0</v>
      </c>
    </row>
    <row r="1096" spans="1:23" x14ac:dyDescent="0.3">
      <c r="A1096" t="s">
        <v>2627</v>
      </c>
      <c r="B1096">
        <v>1996</v>
      </c>
      <c r="C1096" t="s">
        <v>2628</v>
      </c>
      <c r="D1096" t="s">
        <v>2629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2</v>
      </c>
      <c r="V1096" t="b">
        <f t="shared" si="51"/>
        <v>0</v>
      </c>
    </row>
    <row r="1097" spans="1:23" x14ac:dyDescent="0.3">
      <c r="A1097" t="s">
        <v>2630</v>
      </c>
      <c r="B1097">
        <v>2015</v>
      </c>
      <c r="C1097" t="s">
        <v>212</v>
      </c>
      <c r="D1097" t="s">
        <v>29</v>
      </c>
      <c r="E1097" t="s">
        <v>2631</v>
      </c>
      <c r="F1097" t="s">
        <v>39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2</v>
      </c>
      <c r="U1097">
        <v>0</v>
      </c>
      <c r="V1097" t="b">
        <f t="shared" si="51"/>
        <v>0</v>
      </c>
    </row>
    <row r="1098" spans="1:23" x14ac:dyDescent="0.3">
      <c r="A1098" t="s">
        <v>2632</v>
      </c>
      <c r="B1098">
        <v>2015</v>
      </c>
      <c r="C1098" t="s">
        <v>2633</v>
      </c>
      <c r="D1098" t="s">
        <v>29</v>
      </c>
      <c r="E1098" t="s">
        <v>2634</v>
      </c>
      <c r="H1098">
        <v>1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2</v>
      </c>
      <c r="U1098">
        <v>1</v>
      </c>
      <c r="V1098" t="b">
        <f t="shared" si="51"/>
        <v>0</v>
      </c>
    </row>
    <row r="1099" spans="1:23" x14ac:dyDescent="0.3">
      <c r="A1099" t="s">
        <v>2635</v>
      </c>
      <c r="B1099">
        <v>2014</v>
      </c>
      <c r="C1099" t="s">
        <v>2636</v>
      </c>
      <c r="D1099" t="s">
        <v>21</v>
      </c>
      <c r="E1099" t="s">
        <v>2637</v>
      </c>
      <c r="H1099">
        <v>1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1</v>
      </c>
      <c r="P1099">
        <v>0</v>
      </c>
      <c r="Q1099">
        <v>1</v>
      </c>
      <c r="R1099">
        <v>0</v>
      </c>
      <c r="S1099">
        <v>0</v>
      </c>
      <c r="T1099">
        <v>2</v>
      </c>
      <c r="U1099">
        <v>2</v>
      </c>
      <c r="V1099" t="b">
        <f t="shared" si="51"/>
        <v>0</v>
      </c>
    </row>
    <row r="1100" spans="1:23" x14ac:dyDescent="0.3">
      <c r="A1100" t="s">
        <v>2638</v>
      </c>
      <c r="B1100">
        <v>2014</v>
      </c>
      <c r="C1100" t="s">
        <v>2639</v>
      </c>
      <c r="D1100" t="s">
        <v>29</v>
      </c>
      <c r="E1100" t="s">
        <v>2640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2</v>
      </c>
      <c r="U1100">
        <v>1</v>
      </c>
      <c r="V1100" t="b">
        <f t="shared" si="51"/>
        <v>0</v>
      </c>
    </row>
    <row r="1101" spans="1:23" x14ac:dyDescent="0.3">
      <c r="A1101" t="s">
        <v>2641</v>
      </c>
      <c r="B1101">
        <v>2014</v>
      </c>
      <c r="C1101" t="s">
        <v>2237</v>
      </c>
      <c r="D1101" t="s">
        <v>21</v>
      </c>
      <c r="E1101" t="s">
        <v>2642</v>
      </c>
      <c r="H1101">
        <v>0</v>
      </c>
      <c r="I1101">
        <v>0</v>
      </c>
      <c r="J1101">
        <v>1</v>
      </c>
      <c r="K1101">
        <v>0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2</v>
      </c>
      <c r="U1101">
        <v>2</v>
      </c>
      <c r="V1101" t="b">
        <f t="shared" si="51"/>
        <v>0</v>
      </c>
    </row>
    <row r="1102" spans="1:23" x14ac:dyDescent="0.3">
      <c r="A1102" t="s">
        <v>2643</v>
      </c>
      <c r="B1102">
        <v>2013</v>
      </c>
      <c r="C1102" t="s">
        <v>799</v>
      </c>
      <c r="D1102" t="s">
        <v>29</v>
      </c>
      <c r="E1102" t="s">
        <v>2644</v>
      </c>
      <c r="F1102" t="s">
        <v>31</v>
      </c>
      <c r="H1102">
        <v>1</v>
      </c>
      <c r="I1102">
        <v>0</v>
      </c>
      <c r="J1102">
        <v>1</v>
      </c>
      <c r="K1102">
        <v>0</v>
      </c>
      <c r="L1102">
        <v>1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4</v>
      </c>
      <c r="U1102">
        <v>0</v>
      </c>
      <c r="V1102" t="b">
        <f t="shared" si="51"/>
        <v>0</v>
      </c>
    </row>
    <row r="1103" spans="1:23" x14ac:dyDescent="0.3">
      <c r="A1103" t="s">
        <v>2645</v>
      </c>
      <c r="B1103">
        <v>2014</v>
      </c>
      <c r="C1103" t="s">
        <v>2646</v>
      </c>
      <c r="D1103" t="s">
        <v>21</v>
      </c>
      <c r="E1103" t="s">
        <v>2647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1</v>
      </c>
      <c r="V1103" t="b">
        <f t="shared" si="51"/>
        <v>0</v>
      </c>
    </row>
    <row r="1104" spans="1:23" x14ac:dyDescent="0.3">
      <c r="A1104" t="s">
        <v>2648</v>
      </c>
      <c r="B1104">
        <v>2014</v>
      </c>
      <c r="C1104" t="s">
        <v>2649</v>
      </c>
      <c r="D1104" t="s">
        <v>21</v>
      </c>
      <c r="E1104" t="s">
        <v>2650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1</v>
      </c>
      <c r="V1104" t="b">
        <f t="shared" si="51"/>
        <v>0</v>
      </c>
    </row>
    <row r="1105" spans="1:22" x14ac:dyDescent="0.3">
      <c r="A1105" t="s">
        <v>2651</v>
      </c>
      <c r="B1105">
        <v>2013</v>
      </c>
      <c r="C1105" t="s">
        <v>2652</v>
      </c>
      <c r="D1105" t="s">
        <v>29</v>
      </c>
      <c r="E1105" t="s">
        <v>2653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1</v>
      </c>
      <c r="V1105" t="b">
        <f t="shared" si="51"/>
        <v>0</v>
      </c>
    </row>
    <row r="1106" spans="1:22" x14ac:dyDescent="0.3">
      <c r="A1106" t="s">
        <v>2654</v>
      </c>
      <c r="B1106">
        <v>2013</v>
      </c>
      <c r="C1106" t="s">
        <v>2655</v>
      </c>
      <c r="D1106" t="s">
        <v>21</v>
      </c>
      <c r="E1106" t="s">
        <v>2656</v>
      </c>
      <c r="H1106">
        <v>1</v>
      </c>
      <c r="I1106">
        <v>0</v>
      </c>
      <c r="J1106">
        <v>1</v>
      </c>
      <c r="K1106">
        <v>0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3</v>
      </c>
      <c r="U1106">
        <v>1</v>
      </c>
      <c r="V1106" t="b">
        <f t="shared" si="51"/>
        <v>0</v>
      </c>
    </row>
    <row r="1107" spans="1:22" x14ac:dyDescent="0.3">
      <c r="A1107" t="s">
        <v>2657</v>
      </c>
      <c r="B1107">
        <v>2012</v>
      </c>
      <c r="C1107" t="s">
        <v>2658</v>
      </c>
      <c r="D1107" t="s">
        <v>29</v>
      </c>
      <c r="E1107" t="s">
        <v>2659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1</v>
      </c>
      <c r="R1107">
        <v>0</v>
      </c>
      <c r="S1107">
        <v>0</v>
      </c>
      <c r="T1107">
        <v>2</v>
      </c>
      <c r="U1107">
        <v>2</v>
      </c>
      <c r="V1107" t="b">
        <f t="shared" si="51"/>
        <v>0</v>
      </c>
    </row>
    <row r="1108" spans="1:22" x14ac:dyDescent="0.3">
      <c r="A1108" t="s">
        <v>2660</v>
      </c>
      <c r="B1108">
        <v>2011</v>
      </c>
      <c r="C1108" t="s">
        <v>2661</v>
      </c>
      <c r="D1108" t="s">
        <v>29</v>
      </c>
      <c r="E1108" t="s">
        <v>2662</v>
      </c>
      <c r="H1108">
        <v>1</v>
      </c>
      <c r="I1108">
        <v>0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3</v>
      </c>
      <c r="U1108">
        <v>1</v>
      </c>
      <c r="V1108" t="b">
        <f t="shared" si="51"/>
        <v>0</v>
      </c>
    </row>
    <row r="1109" spans="1:22" x14ac:dyDescent="0.3">
      <c r="A1109" t="s">
        <v>2663</v>
      </c>
      <c r="B1109">
        <v>2011</v>
      </c>
      <c r="C1109" t="s">
        <v>2664</v>
      </c>
      <c r="D1109" t="s">
        <v>21</v>
      </c>
      <c r="E1109" t="s">
        <v>2665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1</v>
      </c>
      <c r="V1109" t="b">
        <f t="shared" si="51"/>
        <v>0</v>
      </c>
    </row>
    <row r="1110" spans="1:22" x14ac:dyDescent="0.3">
      <c r="A1110" t="s">
        <v>2666</v>
      </c>
      <c r="B1110">
        <v>2011</v>
      </c>
      <c r="C1110" t="s">
        <v>184</v>
      </c>
      <c r="D1110" t="s">
        <v>29</v>
      </c>
      <c r="E1110" t="s">
        <v>2667</v>
      </c>
      <c r="F1110" t="s">
        <v>31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3</v>
      </c>
      <c r="U1110">
        <v>0</v>
      </c>
      <c r="V1110" t="b">
        <f t="shared" si="51"/>
        <v>0</v>
      </c>
    </row>
    <row r="1111" spans="1:22" x14ac:dyDescent="0.3">
      <c r="A1111" t="s">
        <v>2668</v>
      </c>
      <c r="B1111">
        <v>2009</v>
      </c>
      <c r="C1111" t="s">
        <v>203</v>
      </c>
      <c r="D1111" t="s">
        <v>29</v>
      </c>
      <c r="E1111" t="s">
        <v>2669</v>
      </c>
      <c r="F1111" t="s">
        <v>31</v>
      </c>
      <c r="H1111">
        <v>0</v>
      </c>
      <c r="I1111">
        <v>0</v>
      </c>
      <c r="J1111">
        <v>1</v>
      </c>
      <c r="K1111">
        <v>0</v>
      </c>
      <c r="L1111">
        <v>1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3</v>
      </c>
      <c r="U1111">
        <v>1</v>
      </c>
      <c r="V1111" t="b">
        <f t="shared" si="51"/>
        <v>0</v>
      </c>
    </row>
    <row r="1112" spans="1:22" x14ac:dyDescent="0.3">
      <c r="A1112" t="s">
        <v>2670</v>
      </c>
      <c r="B1112">
        <v>2008</v>
      </c>
      <c r="C1112" t="s">
        <v>1429</v>
      </c>
      <c r="D1112" t="s">
        <v>21</v>
      </c>
      <c r="E1112" t="s">
        <v>2671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 t="b">
        <f t="shared" si="51"/>
        <v>0</v>
      </c>
    </row>
    <row r="1113" spans="1:22" x14ac:dyDescent="0.3">
      <c r="A1113" t="s">
        <v>2672</v>
      </c>
      <c r="B1113">
        <v>2008</v>
      </c>
      <c r="C1113" t="s">
        <v>2673</v>
      </c>
      <c r="D1113" t="s">
        <v>29</v>
      </c>
      <c r="E1113" t="s">
        <v>2674</v>
      </c>
      <c r="H1113">
        <v>0</v>
      </c>
      <c r="I1113">
        <v>0</v>
      </c>
      <c r="J1113">
        <v>1</v>
      </c>
      <c r="K1113">
        <v>0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2</v>
      </c>
      <c r="U1113">
        <v>2</v>
      </c>
      <c r="V1113" t="b">
        <f t="shared" si="51"/>
        <v>0</v>
      </c>
    </row>
    <row r="1114" spans="1:22" x14ac:dyDescent="0.3">
      <c r="A1114" t="s">
        <v>2675</v>
      </c>
      <c r="B1114">
        <v>2007</v>
      </c>
      <c r="C1114" t="s">
        <v>2676</v>
      </c>
      <c r="D1114" t="s">
        <v>29</v>
      </c>
      <c r="E1114" t="s">
        <v>2677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</v>
      </c>
      <c r="V1114" t="b">
        <f t="shared" si="51"/>
        <v>0</v>
      </c>
    </row>
    <row r="1115" spans="1:22" x14ac:dyDescent="0.3">
      <c r="A1115" t="s">
        <v>2678</v>
      </c>
      <c r="B1115">
        <v>2007</v>
      </c>
      <c r="C1115" t="s">
        <v>2676</v>
      </c>
      <c r="D1115" t="s">
        <v>29</v>
      </c>
      <c r="E1115" t="s">
        <v>2679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1</v>
      </c>
      <c r="V1115" t="b">
        <f t="shared" si="51"/>
        <v>0</v>
      </c>
    </row>
    <row r="1116" spans="1:22" x14ac:dyDescent="0.3">
      <c r="A1116" t="s">
        <v>2680</v>
      </c>
      <c r="B1116">
        <v>2006</v>
      </c>
      <c r="C1116" t="s">
        <v>2676</v>
      </c>
      <c r="D1116" t="s">
        <v>29</v>
      </c>
      <c r="E1116" t="s">
        <v>2681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1</v>
      </c>
      <c r="V1116" t="b">
        <f t="shared" si="51"/>
        <v>0</v>
      </c>
    </row>
    <row r="1117" spans="1:22" x14ac:dyDescent="0.3">
      <c r="A1117" t="s">
        <v>2682</v>
      </c>
      <c r="B1117">
        <v>2007</v>
      </c>
      <c r="C1117" t="s">
        <v>2683</v>
      </c>
      <c r="D1117" t="s">
        <v>21</v>
      </c>
      <c r="E1117" t="s">
        <v>2684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1</v>
      </c>
      <c r="V1117" t="b">
        <f t="shared" si="51"/>
        <v>0</v>
      </c>
    </row>
    <row r="1118" spans="1:22" x14ac:dyDescent="0.3">
      <c r="A1118" t="s">
        <v>2685</v>
      </c>
      <c r="B1118">
        <v>2006</v>
      </c>
      <c r="C1118" t="s">
        <v>2676</v>
      </c>
      <c r="D1118" t="s">
        <v>29</v>
      </c>
      <c r="E1118" t="s">
        <v>2686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2</v>
      </c>
      <c r="U1118">
        <v>1</v>
      </c>
      <c r="V1118" t="b">
        <f t="shared" si="51"/>
        <v>0</v>
      </c>
    </row>
    <row r="1119" spans="1:22" x14ac:dyDescent="0.3">
      <c r="A1119" t="s">
        <v>2687</v>
      </c>
      <c r="B1119">
        <v>2006</v>
      </c>
      <c r="C1119" t="s">
        <v>2688</v>
      </c>
      <c r="D1119" t="s">
        <v>21</v>
      </c>
      <c r="E1119" t="s">
        <v>2689</v>
      </c>
      <c r="F1119" t="s">
        <v>35</v>
      </c>
      <c r="H1119">
        <v>1</v>
      </c>
      <c r="I1119">
        <v>0</v>
      </c>
      <c r="J1119">
        <v>1</v>
      </c>
      <c r="K1119">
        <v>0</v>
      </c>
      <c r="L1119">
        <v>1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4</v>
      </c>
      <c r="U1119">
        <v>0</v>
      </c>
      <c r="V1119" t="b">
        <f t="shared" si="51"/>
        <v>0</v>
      </c>
    </row>
    <row r="1120" spans="1:22" x14ac:dyDescent="0.3">
      <c r="A1120" t="s">
        <v>2690</v>
      </c>
      <c r="B1120">
        <v>2004</v>
      </c>
      <c r="C1120" t="s">
        <v>2661</v>
      </c>
      <c r="D1120" t="s">
        <v>29</v>
      </c>
      <c r="E1120" t="s">
        <v>2691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1</v>
      </c>
      <c r="T1120">
        <v>2</v>
      </c>
      <c r="U1120">
        <v>2</v>
      </c>
      <c r="V1120" t="b">
        <f t="shared" si="51"/>
        <v>0</v>
      </c>
    </row>
    <row r="1121" spans="1:22" x14ac:dyDescent="0.3">
      <c r="A1121" t="s">
        <v>2692</v>
      </c>
      <c r="B1121">
        <v>2003</v>
      </c>
      <c r="C1121" t="s">
        <v>2693</v>
      </c>
      <c r="D1121" t="s">
        <v>29</v>
      </c>
      <c r="E1121" t="s">
        <v>2694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0</v>
      </c>
      <c r="T1121">
        <v>2</v>
      </c>
      <c r="U1121">
        <v>2</v>
      </c>
      <c r="V1121" t="b">
        <f t="shared" si="51"/>
        <v>0</v>
      </c>
    </row>
    <row r="1122" spans="1:22" x14ac:dyDescent="0.3">
      <c r="A1122" t="s">
        <v>2695</v>
      </c>
      <c r="B1122">
        <v>2004</v>
      </c>
      <c r="C1122" t="s">
        <v>2696</v>
      </c>
      <c r="D1122" t="s">
        <v>21</v>
      </c>
      <c r="E1122" t="s">
        <v>2697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1</v>
      </c>
      <c r="V1122" t="b">
        <f t="shared" si="51"/>
        <v>0</v>
      </c>
    </row>
    <row r="1123" spans="1:22" x14ac:dyDescent="0.3">
      <c r="A1123" t="s">
        <v>2698</v>
      </c>
      <c r="B1123">
        <v>2003</v>
      </c>
      <c r="C1123" t="s">
        <v>2661</v>
      </c>
      <c r="D1123" t="s">
        <v>29</v>
      </c>
      <c r="E1123" t="s">
        <v>2699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3</v>
      </c>
      <c r="U1123">
        <v>1</v>
      </c>
      <c r="V1123" t="b">
        <f t="shared" si="51"/>
        <v>0</v>
      </c>
    </row>
    <row r="1124" spans="1:22" x14ac:dyDescent="0.3">
      <c r="A1124" t="s">
        <v>2700</v>
      </c>
      <c r="B1124">
        <v>2003</v>
      </c>
      <c r="C1124" t="s">
        <v>184</v>
      </c>
      <c r="D1124" t="s">
        <v>29</v>
      </c>
      <c r="E1124" t="s">
        <v>2701</v>
      </c>
      <c r="F1124" t="s">
        <v>31</v>
      </c>
      <c r="H1124">
        <v>1</v>
      </c>
      <c r="I1124">
        <v>0</v>
      </c>
      <c r="J1124">
        <v>0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3</v>
      </c>
      <c r="U1124">
        <v>0</v>
      </c>
      <c r="V1124" t="b">
        <f t="shared" si="51"/>
        <v>0</v>
      </c>
    </row>
    <row r="1125" spans="1:22" x14ac:dyDescent="0.3">
      <c r="A1125" t="s">
        <v>2702</v>
      </c>
      <c r="B1125">
        <v>2002</v>
      </c>
      <c r="C1125" t="s">
        <v>2661</v>
      </c>
      <c r="D1125" t="s">
        <v>29</v>
      </c>
      <c r="E1125" t="s">
        <v>2703</v>
      </c>
      <c r="H1125">
        <v>1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2</v>
      </c>
      <c r="U1125">
        <v>1</v>
      </c>
      <c r="V1125" t="b">
        <f t="shared" si="51"/>
        <v>0</v>
      </c>
    </row>
    <row r="1126" spans="1:22" x14ac:dyDescent="0.3">
      <c r="A1126" t="s">
        <v>2704</v>
      </c>
      <c r="B1126">
        <v>2001</v>
      </c>
      <c r="C1126" t="s">
        <v>2705</v>
      </c>
      <c r="D1126" t="s">
        <v>29</v>
      </c>
      <c r="E1126" t="s">
        <v>2706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2</v>
      </c>
      <c r="U1126">
        <v>1</v>
      </c>
      <c r="V1126" t="b">
        <f t="shared" si="51"/>
        <v>0</v>
      </c>
    </row>
    <row r="1127" spans="1:22" x14ac:dyDescent="0.3">
      <c r="A1127" t="s">
        <v>2707</v>
      </c>
      <c r="B1127">
        <v>2001</v>
      </c>
      <c r="C1127" t="s">
        <v>2705</v>
      </c>
      <c r="D1127" t="s">
        <v>29</v>
      </c>
      <c r="E1127" t="s">
        <v>2708</v>
      </c>
      <c r="H1127">
        <v>1</v>
      </c>
      <c r="I1127">
        <v>0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3</v>
      </c>
      <c r="U1127">
        <v>1</v>
      </c>
      <c r="V1127" t="b">
        <f t="shared" si="51"/>
        <v>0</v>
      </c>
    </row>
    <row r="1128" spans="1:22" x14ac:dyDescent="0.3">
      <c r="A1128" t="s">
        <v>2709</v>
      </c>
      <c r="B1128">
        <v>1999</v>
      </c>
      <c r="C1128" t="s">
        <v>2705</v>
      </c>
      <c r="D1128" t="s">
        <v>29</v>
      </c>
      <c r="E1128" t="s">
        <v>2710</v>
      </c>
      <c r="H1128">
        <v>1</v>
      </c>
      <c r="I1128">
        <v>0</v>
      </c>
      <c r="J1128">
        <v>1</v>
      </c>
      <c r="K1128">
        <v>0</v>
      </c>
      <c r="L1128">
        <v>1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3</v>
      </c>
      <c r="U1128">
        <v>1</v>
      </c>
      <c r="V1128" t="b">
        <f t="shared" si="51"/>
        <v>0</v>
      </c>
    </row>
    <row r="1129" spans="1:22" x14ac:dyDescent="0.3">
      <c r="A1129" t="s">
        <v>2711</v>
      </c>
      <c r="B1129">
        <v>1998</v>
      </c>
      <c r="C1129" t="s">
        <v>2712</v>
      </c>
      <c r="D1129" t="s">
        <v>21</v>
      </c>
      <c r="E1129" t="s">
        <v>2713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2</v>
      </c>
      <c r="U1129">
        <v>1</v>
      </c>
      <c r="V1129" t="b">
        <f t="shared" si="51"/>
        <v>0</v>
      </c>
    </row>
    <row r="1130" spans="1:22" x14ac:dyDescent="0.3">
      <c r="A1130" t="s">
        <v>2714</v>
      </c>
      <c r="B1130">
        <v>1997</v>
      </c>
      <c r="C1130" t="s">
        <v>2705</v>
      </c>
      <c r="D1130" t="s">
        <v>29</v>
      </c>
      <c r="E1130" t="s">
        <v>2715</v>
      </c>
      <c r="H1130">
        <v>1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2</v>
      </c>
      <c r="U1130">
        <v>1</v>
      </c>
      <c r="V1130" t="b">
        <f t="shared" si="51"/>
        <v>0</v>
      </c>
    </row>
    <row r="1131" spans="1:22" x14ac:dyDescent="0.3">
      <c r="A1131" t="s">
        <v>2716</v>
      </c>
      <c r="B1131">
        <v>1996</v>
      </c>
      <c r="C1131" t="s">
        <v>2705</v>
      </c>
      <c r="D1131" t="s">
        <v>29</v>
      </c>
      <c r="E1131" t="s">
        <v>2717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1</v>
      </c>
      <c r="V1131" t="b">
        <f t="shared" si="51"/>
        <v>0</v>
      </c>
    </row>
    <row r="1132" spans="1:22" x14ac:dyDescent="0.3">
      <c r="A1132" t="s">
        <v>2718</v>
      </c>
      <c r="B1132">
        <v>1996</v>
      </c>
      <c r="C1132" t="s">
        <v>2719</v>
      </c>
      <c r="D1132" t="s">
        <v>21</v>
      </c>
      <c r="E1132" t="s">
        <v>2720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1</v>
      </c>
      <c r="V1132" t="b">
        <f t="shared" si="51"/>
        <v>0</v>
      </c>
    </row>
    <row r="1133" spans="1:22" x14ac:dyDescent="0.3">
      <c r="A1133" t="s">
        <v>2721</v>
      </c>
      <c r="B1133">
        <v>1995</v>
      </c>
      <c r="C1133" t="s">
        <v>2722</v>
      </c>
      <c r="D1133" t="s">
        <v>21</v>
      </c>
      <c r="E1133" t="s">
        <v>2723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1</v>
      </c>
      <c r="V1133" t="b">
        <f t="shared" si="51"/>
        <v>0</v>
      </c>
    </row>
    <row r="1134" spans="1:22" x14ac:dyDescent="0.3">
      <c r="A1134" t="s">
        <v>2724</v>
      </c>
      <c r="B1134">
        <v>1995</v>
      </c>
      <c r="C1134" t="s">
        <v>2725</v>
      </c>
      <c r="D1134" t="s">
        <v>21</v>
      </c>
      <c r="E1134" t="s">
        <v>2726</v>
      </c>
      <c r="H1134">
        <v>1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2</v>
      </c>
      <c r="U1134">
        <v>1</v>
      </c>
      <c r="V1134" t="b">
        <f t="shared" si="51"/>
        <v>0</v>
      </c>
    </row>
    <row r="1135" spans="1:22" x14ac:dyDescent="0.3">
      <c r="A1135" t="s">
        <v>2727</v>
      </c>
      <c r="B1135">
        <v>1994</v>
      </c>
      <c r="C1135" t="s">
        <v>2728</v>
      </c>
      <c r="D1135" t="s">
        <v>21</v>
      </c>
      <c r="E1135" t="s">
        <v>2729</v>
      </c>
      <c r="H1135">
        <v>1</v>
      </c>
      <c r="I1135">
        <v>0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3</v>
      </c>
      <c r="U1135">
        <v>1</v>
      </c>
      <c r="V1135" t="b">
        <f t="shared" si="51"/>
        <v>0</v>
      </c>
    </row>
    <row r="1136" spans="1:22" x14ac:dyDescent="0.3">
      <c r="A1136" t="s">
        <v>2730</v>
      </c>
      <c r="B1136">
        <v>1991</v>
      </c>
      <c r="C1136" t="s">
        <v>2731</v>
      </c>
      <c r="D1136" t="s">
        <v>21</v>
      </c>
      <c r="E1136" t="s">
        <v>2732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1</v>
      </c>
      <c r="V1136" t="b">
        <f t="shared" si="51"/>
        <v>0</v>
      </c>
    </row>
    <row r="1137" spans="22:22" x14ac:dyDescent="0.3">
      <c r="V1137">
        <f>COUNTIF(V1:V1136,TRUE)</f>
        <v>152</v>
      </c>
    </row>
  </sheetData>
  <autoFilter ref="V1:V1085" xr:uid="{CD305F58-EB02-4874-8C36-8FFDBC41C6AB}"/>
  <conditionalFormatting sqref="U1089">
    <cfRule type="containsText" dxfId="5" priority="3" operator="containsText" text="VERO">
      <formula>NOT(ISERROR(SEARCH("VERO",U1089)))</formula>
    </cfRule>
    <cfRule type="containsText" dxfId="4" priority="4" operator="containsText" text="FALSO">
      <formula>NOT(ISERROR(SEARCH("FALSO",U1089)))</formula>
    </cfRule>
  </conditionalFormatting>
  <conditionalFormatting sqref="V1:V1048576">
    <cfRule type="cellIs" dxfId="3" priority="1" operator="equal">
      <formula>TRUE</formula>
    </cfRule>
    <cfRule type="containsText" dxfId="2" priority="2" operator="containsText" text="FALSO">
      <formula>NOT(ISERROR(SEARCH("FALSO",V1)))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5756-4694-46C7-BF32-582E122B0B98}">
  <dimension ref="A1:V153"/>
  <sheetViews>
    <sheetView tabSelected="1" topLeftCell="C141" workbookViewId="0">
      <selection activeCell="C165" sqref="C165"/>
    </sheetView>
  </sheetViews>
  <sheetFormatPr defaultRowHeight="14.4" x14ac:dyDescent="0.3"/>
  <cols>
    <col min="1" max="1" width="130.109375" bestFit="1" customWidth="1"/>
    <col min="3" max="3" width="116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2596</v>
      </c>
      <c r="U1" t="s">
        <v>2597</v>
      </c>
      <c r="V1" t="s">
        <v>2598</v>
      </c>
    </row>
    <row r="2" spans="1:22" x14ac:dyDescent="0.3">
      <c r="A2" t="s">
        <v>40</v>
      </c>
      <c r="B2">
        <v>2026</v>
      </c>
      <c r="C2" t="s">
        <v>20</v>
      </c>
      <c r="D2" t="s">
        <v>21</v>
      </c>
      <c r="E2" t="s">
        <v>41</v>
      </c>
      <c r="F2" t="s">
        <v>23</v>
      </c>
      <c r="G2" t="s">
        <v>24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0</v>
      </c>
      <c r="V2" t="b">
        <v>1</v>
      </c>
    </row>
    <row r="3" spans="1:22" x14ac:dyDescent="0.3">
      <c r="A3" t="s">
        <v>76</v>
      </c>
      <c r="B3">
        <v>2026</v>
      </c>
      <c r="C3" t="s">
        <v>62</v>
      </c>
      <c r="D3" t="s">
        <v>21</v>
      </c>
      <c r="E3" t="s">
        <v>77</v>
      </c>
      <c r="F3" t="s">
        <v>23</v>
      </c>
      <c r="G3" t="s">
        <v>24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</v>
      </c>
      <c r="U3">
        <v>0</v>
      </c>
      <c r="V3" t="b">
        <v>1</v>
      </c>
    </row>
    <row r="4" spans="1:22" x14ac:dyDescent="0.3">
      <c r="A4" t="s">
        <v>88</v>
      </c>
      <c r="B4">
        <v>2026</v>
      </c>
      <c r="C4" t="s">
        <v>53</v>
      </c>
      <c r="D4" t="s">
        <v>29</v>
      </c>
      <c r="E4" t="s">
        <v>89</v>
      </c>
      <c r="F4" t="s">
        <v>31</v>
      </c>
      <c r="G4" t="s">
        <v>24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</v>
      </c>
      <c r="U4">
        <v>0</v>
      </c>
      <c r="V4" t="b">
        <v>1</v>
      </c>
    </row>
    <row r="5" spans="1:22" x14ac:dyDescent="0.3">
      <c r="A5" t="s">
        <v>90</v>
      </c>
      <c r="B5">
        <v>2026</v>
      </c>
      <c r="C5" t="s">
        <v>53</v>
      </c>
      <c r="D5" t="s">
        <v>29</v>
      </c>
      <c r="E5" t="s">
        <v>91</v>
      </c>
      <c r="F5" t="s">
        <v>31</v>
      </c>
      <c r="G5" t="s">
        <v>24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0</v>
      </c>
      <c r="V5" t="b">
        <v>1</v>
      </c>
    </row>
    <row r="6" spans="1:22" x14ac:dyDescent="0.3">
      <c r="A6" t="s">
        <v>128</v>
      </c>
      <c r="B6">
        <v>2026</v>
      </c>
      <c r="C6" t="s">
        <v>129</v>
      </c>
      <c r="D6" t="s">
        <v>130</v>
      </c>
      <c r="E6" t="s">
        <v>131</v>
      </c>
      <c r="F6" t="s">
        <v>39</v>
      </c>
      <c r="G6" t="s">
        <v>24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</v>
      </c>
      <c r="U6">
        <v>0</v>
      </c>
      <c r="V6" t="b">
        <v>1</v>
      </c>
    </row>
    <row r="7" spans="1:22" x14ac:dyDescent="0.3">
      <c r="A7" t="s">
        <v>132</v>
      </c>
      <c r="B7">
        <v>2026</v>
      </c>
      <c r="C7" t="s">
        <v>133</v>
      </c>
      <c r="D7" t="s">
        <v>29</v>
      </c>
      <c r="E7" t="s">
        <v>134</v>
      </c>
      <c r="F7" t="s">
        <v>39</v>
      </c>
      <c r="G7" t="s">
        <v>24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0</v>
      </c>
      <c r="V7" t="b">
        <v>1</v>
      </c>
    </row>
    <row r="8" spans="1:22" x14ac:dyDescent="0.3">
      <c r="A8" t="s">
        <v>149</v>
      </c>
      <c r="B8">
        <v>2026</v>
      </c>
      <c r="C8" t="s">
        <v>133</v>
      </c>
      <c r="D8" t="s">
        <v>29</v>
      </c>
      <c r="E8" t="s">
        <v>150</v>
      </c>
      <c r="F8" t="s">
        <v>39</v>
      </c>
      <c r="G8" t="s">
        <v>24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5</v>
      </c>
      <c r="U8">
        <v>1</v>
      </c>
      <c r="V8" t="b">
        <v>1</v>
      </c>
    </row>
    <row r="9" spans="1:22" x14ac:dyDescent="0.3">
      <c r="A9" t="s">
        <v>156</v>
      </c>
      <c r="B9">
        <v>2026</v>
      </c>
      <c r="C9" t="s">
        <v>133</v>
      </c>
      <c r="D9" t="s">
        <v>29</v>
      </c>
      <c r="E9" t="s">
        <v>157</v>
      </c>
      <c r="F9" t="s">
        <v>39</v>
      </c>
      <c r="G9" t="s">
        <v>24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</v>
      </c>
      <c r="U9">
        <v>0</v>
      </c>
      <c r="V9" t="b">
        <v>1</v>
      </c>
    </row>
    <row r="10" spans="1:22" x14ac:dyDescent="0.3">
      <c r="A10" t="s">
        <v>160</v>
      </c>
      <c r="B10">
        <v>2026</v>
      </c>
      <c r="C10" t="s">
        <v>161</v>
      </c>
      <c r="D10" t="s">
        <v>21</v>
      </c>
      <c r="E10" t="s">
        <v>162</v>
      </c>
      <c r="F10" t="s">
        <v>35</v>
      </c>
      <c r="G10" t="s">
        <v>24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</v>
      </c>
      <c r="U10">
        <v>0</v>
      </c>
      <c r="V10" t="b">
        <v>1</v>
      </c>
    </row>
    <row r="11" spans="1:22" x14ac:dyDescent="0.3">
      <c r="A11" t="s">
        <v>177</v>
      </c>
      <c r="B11">
        <v>2026</v>
      </c>
      <c r="C11" t="s">
        <v>178</v>
      </c>
      <c r="D11" t="s">
        <v>29</v>
      </c>
      <c r="E11" t="s">
        <v>179</v>
      </c>
      <c r="F11" t="s">
        <v>31</v>
      </c>
      <c r="G11" t="s">
        <v>24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</v>
      </c>
      <c r="U11">
        <v>0</v>
      </c>
      <c r="V11" t="b">
        <v>1</v>
      </c>
    </row>
    <row r="12" spans="1:22" x14ac:dyDescent="0.3">
      <c r="A12" t="s">
        <v>232</v>
      </c>
      <c r="B12">
        <v>2026</v>
      </c>
      <c r="C12" t="s">
        <v>233</v>
      </c>
      <c r="D12" t="s">
        <v>29</v>
      </c>
      <c r="E12" t="s">
        <v>234</v>
      </c>
      <c r="F12" t="s">
        <v>39</v>
      </c>
      <c r="G12" t="s">
        <v>24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</v>
      </c>
      <c r="U12">
        <v>0</v>
      </c>
      <c r="V12" t="b">
        <v>1</v>
      </c>
    </row>
    <row r="13" spans="1:22" x14ac:dyDescent="0.3">
      <c r="A13" t="s">
        <v>271</v>
      </c>
      <c r="B13">
        <v>2025</v>
      </c>
      <c r="C13" t="s">
        <v>272</v>
      </c>
      <c r="D13" t="s">
        <v>21</v>
      </c>
      <c r="E13" t="s">
        <v>273</v>
      </c>
      <c r="F13" t="s">
        <v>23</v>
      </c>
      <c r="G13" t="s">
        <v>24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</v>
      </c>
      <c r="U13">
        <v>0</v>
      </c>
      <c r="V13" t="b">
        <v>1</v>
      </c>
    </row>
    <row r="14" spans="1:22" x14ac:dyDescent="0.3">
      <c r="A14" t="s">
        <v>274</v>
      </c>
      <c r="B14">
        <v>2025</v>
      </c>
      <c r="C14" t="s">
        <v>275</v>
      </c>
      <c r="D14" t="s">
        <v>21</v>
      </c>
      <c r="E14" t="s">
        <v>276</v>
      </c>
      <c r="F14" t="s">
        <v>23</v>
      </c>
      <c r="G14" t="s">
        <v>24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0</v>
      </c>
      <c r="V14" t="b">
        <v>1</v>
      </c>
    </row>
    <row r="15" spans="1:22" x14ac:dyDescent="0.3">
      <c r="A15" t="s">
        <v>277</v>
      </c>
      <c r="B15">
        <v>2025</v>
      </c>
      <c r="C15" t="s">
        <v>53</v>
      </c>
      <c r="D15" t="s">
        <v>29</v>
      </c>
      <c r="E15" t="s">
        <v>278</v>
      </c>
      <c r="F15" t="s">
        <v>31</v>
      </c>
      <c r="G15" t="s">
        <v>24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0</v>
      </c>
      <c r="V15" t="b">
        <v>1</v>
      </c>
    </row>
    <row r="16" spans="1:22" x14ac:dyDescent="0.3">
      <c r="A16" t="s">
        <v>282</v>
      </c>
      <c r="B16">
        <v>2025</v>
      </c>
      <c r="C16" t="s">
        <v>283</v>
      </c>
      <c r="D16" t="s">
        <v>21</v>
      </c>
      <c r="E16" t="s">
        <v>284</v>
      </c>
      <c r="F16" t="s">
        <v>23</v>
      </c>
      <c r="G16" t="s">
        <v>24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</v>
      </c>
      <c r="U16">
        <v>0</v>
      </c>
      <c r="V16" t="b">
        <v>1</v>
      </c>
    </row>
    <row r="17" spans="1:22" x14ac:dyDescent="0.3">
      <c r="A17" t="s">
        <v>293</v>
      </c>
      <c r="B17">
        <v>2025</v>
      </c>
      <c r="C17" t="s">
        <v>294</v>
      </c>
      <c r="D17" t="s">
        <v>21</v>
      </c>
      <c r="E17" t="s">
        <v>295</v>
      </c>
      <c r="F17" t="s">
        <v>23</v>
      </c>
      <c r="G17" t="s">
        <v>24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5</v>
      </c>
      <c r="U17">
        <v>1</v>
      </c>
      <c r="V17" t="b">
        <v>1</v>
      </c>
    </row>
    <row r="18" spans="1:22" x14ac:dyDescent="0.3">
      <c r="A18" t="s">
        <v>301</v>
      </c>
      <c r="B18">
        <v>2025</v>
      </c>
      <c r="C18" t="s">
        <v>302</v>
      </c>
      <c r="D18" t="s">
        <v>21</v>
      </c>
      <c r="E18" t="s">
        <v>303</v>
      </c>
      <c r="F18" t="s">
        <v>23</v>
      </c>
      <c r="G18" t="s">
        <v>24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</v>
      </c>
      <c r="U18">
        <v>0</v>
      </c>
      <c r="V18" t="b">
        <v>1</v>
      </c>
    </row>
    <row r="19" spans="1:22" x14ac:dyDescent="0.3">
      <c r="A19" t="s">
        <v>311</v>
      </c>
      <c r="B19">
        <v>2025</v>
      </c>
      <c r="C19" t="s">
        <v>294</v>
      </c>
      <c r="D19" t="s">
        <v>21</v>
      </c>
      <c r="E19" t="s">
        <v>312</v>
      </c>
      <c r="F19" t="s">
        <v>23</v>
      </c>
      <c r="G19" t="s">
        <v>24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5</v>
      </c>
      <c r="U19">
        <v>1</v>
      </c>
      <c r="V19" t="b">
        <v>1</v>
      </c>
    </row>
    <row r="20" spans="1:22" x14ac:dyDescent="0.3">
      <c r="A20" t="s">
        <v>321</v>
      </c>
      <c r="B20">
        <v>2025</v>
      </c>
      <c r="C20" t="s">
        <v>322</v>
      </c>
      <c r="D20" t="s">
        <v>323</v>
      </c>
      <c r="E20" t="s">
        <v>324</v>
      </c>
      <c r="F20" t="s">
        <v>23</v>
      </c>
      <c r="G20" t="s">
        <v>24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</v>
      </c>
      <c r="U20">
        <v>0</v>
      </c>
      <c r="V20" t="b">
        <v>1</v>
      </c>
    </row>
    <row r="21" spans="1:22" x14ac:dyDescent="0.3">
      <c r="A21" t="s">
        <v>325</v>
      </c>
      <c r="B21">
        <v>2025</v>
      </c>
      <c r="C21" t="s">
        <v>28</v>
      </c>
      <c r="D21" t="s">
        <v>29</v>
      </c>
      <c r="E21" t="s">
        <v>326</v>
      </c>
      <c r="F21" t="s">
        <v>31</v>
      </c>
      <c r="G21" t="s">
        <v>24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</v>
      </c>
      <c r="U21">
        <v>0</v>
      </c>
      <c r="V21" t="b">
        <v>1</v>
      </c>
    </row>
    <row r="22" spans="1:22" x14ac:dyDescent="0.3">
      <c r="A22" t="s">
        <v>327</v>
      </c>
      <c r="B22">
        <v>2025</v>
      </c>
      <c r="C22" t="s">
        <v>294</v>
      </c>
      <c r="D22" t="s">
        <v>21</v>
      </c>
      <c r="E22" t="s">
        <v>328</v>
      </c>
      <c r="F22" t="s">
        <v>23</v>
      </c>
      <c r="G22" t="s">
        <v>24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5</v>
      </c>
      <c r="U22">
        <v>1</v>
      </c>
      <c r="V22" t="b">
        <v>1</v>
      </c>
    </row>
    <row r="23" spans="1:22" x14ac:dyDescent="0.3">
      <c r="A23" t="s">
        <v>329</v>
      </c>
      <c r="B23">
        <v>2025</v>
      </c>
      <c r="C23" t="s">
        <v>283</v>
      </c>
      <c r="D23" t="s">
        <v>21</v>
      </c>
      <c r="E23" t="s">
        <v>330</v>
      </c>
      <c r="F23" t="s">
        <v>23</v>
      </c>
      <c r="G23" t="s">
        <v>24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</v>
      </c>
      <c r="U23">
        <v>0</v>
      </c>
      <c r="V23" t="b">
        <v>1</v>
      </c>
    </row>
    <row r="24" spans="1:22" x14ac:dyDescent="0.3">
      <c r="A24" t="s">
        <v>336</v>
      </c>
      <c r="B24">
        <v>2025</v>
      </c>
      <c r="C24" t="s">
        <v>37</v>
      </c>
      <c r="D24" t="s">
        <v>29</v>
      </c>
      <c r="E24" t="s">
        <v>337</v>
      </c>
      <c r="F24" t="s">
        <v>39</v>
      </c>
      <c r="G24" t="s">
        <v>24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</v>
      </c>
      <c r="U24">
        <v>0</v>
      </c>
      <c r="V24" t="b">
        <v>1</v>
      </c>
    </row>
    <row r="25" spans="1:22" x14ac:dyDescent="0.3">
      <c r="A25" t="s">
        <v>344</v>
      </c>
      <c r="B25">
        <v>2025</v>
      </c>
      <c r="C25" t="s">
        <v>302</v>
      </c>
      <c r="D25" t="s">
        <v>21</v>
      </c>
      <c r="E25" t="s">
        <v>345</v>
      </c>
      <c r="F25" t="s">
        <v>23</v>
      </c>
      <c r="G25" t="s">
        <v>24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</v>
      </c>
      <c r="U25">
        <v>0</v>
      </c>
      <c r="V25" t="b">
        <v>1</v>
      </c>
    </row>
    <row r="26" spans="1:22" x14ac:dyDescent="0.3">
      <c r="A26" t="s">
        <v>349</v>
      </c>
      <c r="B26">
        <v>2025</v>
      </c>
      <c r="C26" t="s">
        <v>275</v>
      </c>
      <c r="D26" t="s">
        <v>21</v>
      </c>
      <c r="E26" t="s">
        <v>350</v>
      </c>
      <c r="F26" t="s">
        <v>23</v>
      </c>
      <c r="G26" t="s">
        <v>24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5</v>
      </c>
      <c r="U26">
        <v>1</v>
      </c>
      <c r="V26" t="b">
        <v>1</v>
      </c>
    </row>
    <row r="27" spans="1:22" x14ac:dyDescent="0.3">
      <c r="A27" t="s">
        <v>375</v>
      </c>
      <c r="B27">
        <v>2025</v>
      </c>
      <c r="C27" t="s">
        <v>275</v>
      </c>
      <c r="D27" t="s">
        <v>21</v>
      </c>
      <c r="E27" t="s">
        <v>376</v>
      </c>
      <c r="F27" t="s">
        <v>23</v>
      </c>
      <c r="G27" t="s">
        <v>24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5</v>
      </c>
      <c r="U27">
        <v>1</v>
      </c>
      <c r="V27" t="b">
        <v>1</v>
      </c>
    </row>
    <row r="28" spans="1:22" x14ac:dyDescent="0.3">
      <c r="A28" t="s">
        <v>381</v>
      </c>
      <c r="B28">
        <v>2025</v>
      </c>
      <c r="C28" t="s">
        <v>53</v>
      </c>
      <c r="D28" t="s">
        <v>29</v>
      </c>
      <c r="E28" t="s">
        <v>382</v>
      </c>
      <c r="F28" t="s">
        <v>31</v>
      </c>
      <c r="G28" t="s">
        <v>24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</v>
      </c>
      <c r="U28">
        <v>0</v>
      </c>
      <c r="V28" t="b">
        <v>1</v>
      </c>
    </row>
    <row r="29" spans="1:22" x14ac:dyDescent="0.3">
      <c r="A29" t="s">
        <v>389</v>
      </c>
      <c r="B29">
        <v>2025</v>
      </c>
      <c r="C29" t="s">
        <v>53</v>
      </c>
      <c r="D29" t="s">
        <v>29</v>
      </c>
      <c r="E29" t="s">
        <v>390</v>
      </c>
      <c r="F29" t="s">
        <v>31</v>
      </c>
      <c r="G29" t="s">
        <v>24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</v>
      </c>
      <c r="U29">
        <v>0</v>
      </c>
      <c r="V29" t="b">
        <v>1</v>
      </c>
    </row>
    <row r="30" spans="1:22" x14ac:dyDescent="0.3">
      <c r="A30" t="s">
        <v>406</v>
      </c>
      <c r="B30">
        <v>2025</v>
      </c>
      <c r="C30" t="s">
        <v>28</v>
      </c>
      <c r="D30" t="s">
        <v>29</v>
      </c>
      <c r="E30" t="s">
        <v>407</v>
      </c>
      <c r="F30" t="s">
        <v>31</v>
      </c>
      <c r="G30" t="s">
        <v>24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</v>
      </c>
      <c r="U30">
        <v>0</v>
      </c>
      <c r="V30" t="b">
        <v>1</v>
      </c>
    </row>
    <row r="31" spans="1:22" x14ac:dyDescent="0.3">
      <c r="A31" t="s">
        <v>417</v>
      </c>
      <c r="B31">
        <v>2025</v>
      </c>
      <c r="C31" t="s">
        <v>418</v>
      </c>
      <c r="D31" t="s">
        <v>130</v>
      </c>
      <c r="E31" t="s">
        <v>419</v>
      </c>
      <c r="F31" t="s">
        <v>31</v>
      </c>
      <c r="G31" t="s">
        <v>24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</v>
      </c>
      <c r="U31">
        <v>0</v>
      </c>
      <c r="V31" t="b">
        <v>1</v>
      </c>
    </row>
    <row r="32" spans="1:22" x14ac:dyDescent="0.3">
      <c r="A32" t="s">
        <v>452</v>
      </c>
      <c r="B32">
        <v>2025</v>
      </c>
      <c r="C32" t="s">
        <v>53</v>
      </c>
      <c r="D32" t="s">
        <v>29</v>
      </c>
      <c r="E32" t="s">
        <v>453</v>
      </c>
      <c r="F32" t="s">
        <v>31</v>
      </c>
      <c r="G32" t="s">
        <v>24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</v>
      </c>
      <c r="U32">
        <v>0</v>
      </c>
      <c r="V32" t="b">
        <v>1</v>
      </c>
    </row>
    <row r="33" spans="1:22" x14ac:dyDescent="0.3">
      <c r="A33" t="s">
        <v>464</v>
      </c>
      <c r="B33">
        <v>2025</v>
      </c>
      <c r="C33" t="s">
        <v>53</v>
      </c>
      <c r="D33" t="s">
        <v>29</v>
      </c>
      <c r="E33" t="s">
        <v>465</v>
      </c>
      <c r="F33" t="s">
        <v>31</v>
      </c>
      <c r="G33" t="s">
        <v>24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5</v>
      </c>
      <c r="U33">
        <v>1</v>
      </c>
      <c r="V33" t="b">
        <v>1</v>
      </c>
    </row>
    <row r="34" spans="1:22" x14ac:dyDescent="0.3">
      <c r="A34" t="s">
        <v>468</v>
      </c>
      <c r="B34">
        <v>2025</v>
      </c>
      <c r="C34" t="s">
        <v>280</v>
      </c>
      <c r="D34" t="s">
        <v>21</v>
      </c>
      <c r="E34" t="s">
        <v>469</v>
      </c>
      <c r="F34" t="s">
        <v>23</v>
      </c>
      <c r="G34" t="s">
        <v>24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</v>
      </c>
      <c r="U34">
        <v>0</v>
      </c>
      <c r="V34" t="b">
        <v>1</v>
      </c>
    </row>
    <row r="35" spans="1:22" x14ac:dyDescent="0.3">
      <c r="A35" t="s">
        <v>484</v>
      </c>
      <c r="B35">
        <v>2025</v>
      </c>
      <c r="C35" t="s">
        <v>435</v>
      </c>
      <c r="D35" t="s">
        <v>21</v>
      </c>
      <c r="E35" t="s">
        <v>485</v>
      </c>
      <c r="F35" t="s">
        <v>35</v>
      </c>
      <c r="G35" t="s">
        <v>24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5</v>
      </c>
      <c r="U35">
        <v>1</v>
      </c>
      <c r="V35" t="b">
        <v>1</v>
      </c>
    </row>
    <row r="36" spans="1:22" x14ac:dyDescent="0.3">
      <c r="A36" t="s">
        <v>554</v>
      </c>
      <c r="B36">
        <v>2025</v>
      </c>
      <c r="C36" t="s">
        <v>555</v>
      </c>
      <c r="D36" t="s">
        <v>21</v>
      </c>
      <c r="E36" t="s">
        <v>556</v>
      </c>
      <c r="F36" t="s">
        <v>23</v>
      </c>
      <c r="G36" t="s">
        <v>24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</v>
      </c>
      <c r="U36">
        <v>0</v>
      </c>
      <c r="V36" t="b">
        <v>1</v>
      </c>
    </row>
    <row r="37" spans="1:22" x14ac:dyDescent="0.3">
      <c r="A37" t="s">
        <v>627</v>
      </c>
      <c r="B37">
        <v>2025</v>
      </c>
      <c r="C37" t="s">
        <v>129</v>
      </c>
      <c r="D37" t="s">
        <v>130</v>
      </c>
      <c r="E37" t="s">
        <v>628</v>
      </c>
      <c r="F37" t="s">
        <v>39</v>
      </c>
      <c r="G37" t="s">
        <v>24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</v>
      </c>
      <c r="U37">
        <v>0</v>
      </c>
      <c r="V37" t="b">
        <v>1</v>
      </c>
    </row>
    <row r="38" spans="1:22" x14ac:dyDescent="0.3">
      <c r="A38" t="s">
        <v>634</v>
      </c>
      <c r="B38">
        <v>2025</v>
      </c>
      <c r="C38" t="s">
        <v>555</v>
      </c>
      <c r="D38" t="s">
        <v>21</v>
      </c>
      <c r="E38" t="s">
        <v>635</v>
      </c>
      <c r="F38" t="s">
        <v>23</v>
      </c>
      <c r="G38" t="s">
        <v>24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5</v>
      </c>
      <c r="U38">
        <v>1</v>
      </c>
      <c r="V38" t="b">
        <v>1</v>
      </c>
    </row>
    <row r="39" spans="1:22" x14ac:dyDescent="0.3">
      <c r="A39" t="s">
        <v>643</v>
      </c>
      <c r="B39">
        <v>2025</v>
      </c>
      <c r="C39" t="s">
        <v>133</v>
      </c>
      <c r="D39" t="s">
        <v>29</v>
      </c>
      <c r="E39" t="s">
        <v>644</v>
      </c>
      <c r="F39" t="s">
        <v>39</v>
      </c>
      <c r="G39" t="s">
        <v>24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</v>
      </c>
      <c r="U39">
        <v>0</v>
      </c>
      <c r="V39" t="b">
        <v>1</v>
      </c>
    </row>
    <row r="40" spans="1:22" x14ac:dyDescent="0.3">
      <c r="A40" t="s">
        <v>651</v>
      </c>
      <c r="B40">
        <v>2025</v>
      </c>
      <c r="C40" t="s">
        <v>133</v>
      </c>
      <c r="D40" t="s">
        <v>29</v>
      </c>
      <c r="E40" t="s">
        <v>652</v>
      </c>
      <c r="F40" t="s">
        <v>39</v>
      </c>
      <c r="G40" t="s">
        <v>24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5</v>
      </c>
      <c r="U40">
        <v>0</v>
      </c>
      <c r="V40" t="b">
        <v>1</v>
      </c>
    </row>
    <row r="41" spans="1:22" x14ac:dyDescent="0.3">
      <c r="A41" t="s">
        <v>678</v>
      </c>
      <c r="B41">
        <v>2025</v>
      </c>
      <c r="C41" t="s">
        <v>418</v>
      </c>
      <c r="D41" t="s">
        <v>130</v>
      </c>
      <c r="E41" t="s">
        <v>679</v>
      </c>
      <c r="F41" t="s">
        <v>31</v>
      </c>
      <c r="G41" t="s">
        <v>24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</v>
      </c>
      <c r="U41">
        <v>0</v>
      </c>
      <c r="V41" t="b">
        <v>1</v>
      </c>
    </row>
    <row r="42" spans="1:22" x14ac:dyDescent="0.3">
      <c r="A42" t="s">
        <v>680</v>
      </c>
      <c r="B42">
        <v>2025</v>
      </c>
      <c r="C42" t="s">
        <v>681</v>
      </c>
      <c r="D42" t="s">
        <v>323</v>
      </c>
      <c r="E42" t="s">
        <v>682</v>
      </c>
      <c r="F42" t="s">
        <v>35</v>
      </c>
      <c r="G42" t="s">
        <v>24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6</v>
      </c>
      <c r="U42">
        <v>0</v>
      </c>
      <c r="V42" t="b">
        <v>1</v>
      </c>
    </row>
    <row r="43" spans="1:22" x14ac:dyDescent="0.3">
      <c r="A43" t="s">
        <v>695</v>
      </c>
      <c r="B43">
        <v>2025</v>
      </c>
      <c r="C43" t="s">
        <v>696</v>
      </c>
      <c r="D43" t="s">
        <v>323</v>
      </c>
      <c r="E43" t="s">
        <v>697</v>
      </c>
      <c r="F43" t="s">
        <v>23</v>
      </c>
      <c r="G43" t="s">
        <v>24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5</v>
      </c>
      <c r="U43">
        <v>1</v>
      </c>
      <c r="V43" t="b">
        <v>1</v>
      </c>
    </row>
    <row r="44" spans="1:22" x14ac:dyDescent="0.3">
      <c r="A44" t="s">
        <v>752</v>
      </c>
      <c r="B44">
        <v>2025</v>
      </c>
      <c r="C44" t="s">
        <v>753</v>
      </c>
      <c r="D44" t="s">
        <v>29</v>
      </c>
      <c r="E44" t="s">
        <v>754</v>
      </c>
      <c r="F44" t="s">
        <v>31</v>
      </c>
      <c r="G44" t="s">
        <v>24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</v>
      </c>
      <c r="U44">
        <v>0</v>
      </c>
      <c r="V44" t="b">
        <v>1</v>
      </c>
    </row>
    <row r="45" spans="1:22" x14ac:dyDescent="0.3">
      <c r="A45" t="s">
        <v>804</v>
      </c>
      <c r="B45">
        <v>2025</v>
      </c>
      <c r="C45" t="s">
        <v>805</v>
      </c>
      <c r="D45" t="s">
        <v>29</v>
      </c>
      <c r="E45" t="s">
        <v>806</v>
      </c>
      <c r="F45" t="s">
        <v>31</v>
      </c>
      <c r="G45" t="s">
        <v>24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5</v>
      </c>
      <c r="U45">
        <v>1</v>
      </c>
      <c r="V45" t="b">
        <v>1</v>
      </c>
    </row>
    <row r="46" spans="1:22" x14ac:dyDescent="0.3">
      <c r="A46" t="s">
        <v>832</v>
      </c>
      <c r="B46">
        <v>2024</v>
      </c>
      <c r="C46" t="s">
        <v>833</v>
      </c>
      <c r="D46" t="s">
        <v>21</v>
      </c>
      <c r="E46" t="s">
        <v>834</v>
      </c>
      <c r="F46" t="s">
        <v>23</v>
      </c>
      <c r="G46" t="s">
        <v>24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</v>
      </c>
      <c r="U46">
        <v>0</v>
      </c>
      <c r="V46" t="b">
        <v>1</v>
      </c>
    </row>
    <row r="47" spans="1:22" x14ac:dyDescent="0.3">
      <c r="A47" t="s">
        <v>840</v>
      </c>
      <c r="B47">
        <v>2024</v>
      </c>
      <c r="C47" t="s">
        <v>841</v>
      </c>
      <c r="D47" t="s">
        <v>21</v>
      </c>
      <c r="E47" t="s">
        <v>842</v>
      </c>
      <c r="F47" t="s">
        <v>23</v>
      </c>
      <c r="G47" t="s">
        <v>24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</v>
      </c>
      <c r="U47">
        <v>0</v>
      </c>
      <c r="V47" t="b">
        <v>1</v>
      </c>
    </row>
    <row r="48" spans="1:22" x14ac:dyDescent="0.3">
      <c r="A48" t="s">
        <v>843</v>
      </c>
      <c r="B48">
        <v>2024</v>
      </c>
      <c r="C48" t="s">
        <v>844</v>
      </c>
      <c r="D48" t="s">
        <v>21</v>
      </c>
      <c r="E48" t="s">
        <v>845</v>
      </c>
      <c r="F48" t="s">
        <v>35</v>
      </c>
      <c r="G48" t="s">
        <v>24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</v>
      </c>
      <c r="U48">
        <v>0</v>
      </c>
      <c r="V48" t="b">
        <v>1</v>
      </c>
    </row>
    <row r="49" spans="1:22" x14ac:dyDescent="0.3">
      <c r="A49" t="s">
        <v>865</v>
      </c>
      <c r="B49">
        <v>2024</v>
      </c>
      <c r="C49" t="s">
        <v>866</v>
      </c>
      <c r="D49" t="s">
        <v>21</v>
      </c>
      <c r="E49" t="s">
        <v>867</v>
      </c>
      <c r="F49" t="s">
        <v>23</v>
      </c>
      <c r="G49" t="s">
        <v>24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</v>
      </c>
      <c r="U49">
        <v>0</v>
      </c>
      <c r="V49" t="b">
        <v>1</v>
      </c>
    </row>
    <row r="50" spans="1:22" x14ac:dyDescent="0.3">
      <c r="A50" t="s">
        <v>871</v>
      </c>
      <c r="B50">
        <v>2024</v>
      </c>
      <c r="C50" t="s">
        <v>866</v>
      </c>
      <c r="D50" t="s">
        <v>21</v>
      </c>
      <c r="E50" t="s">
        <v>872</v>
      </c>
      <c r="F50" t="s">
        <v>23</v>
      </c>
      <c r="G50" t="s">
        <v>24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</v>
      </c>
      <c r="U50">
        <v>0</v>
      </c>
      <c r="V50" t="b">
        <v>1</v>
      </c>
    </row>
    <row r="51" spans="1:22" x14ac:dyDescent="0.3">
      <c r="A51" t="s">
        <v>901</v>
      </c>
      <c r="B51">
        <v>2024</v>
      </c>
      <c r="C51" t="s">
        <v>838</v>
      </c>
      <c r="D51" t="s">
        <v>21</v>
      </c>
      <c r="E51" t="s">
        <v>902</v>
      </c>
      <c r="F51" t="s">
        <v>35</v>
      </c>
      <c r="G51" t="s">
        <v>24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</v>
      </c>
      <c r="U51">
        <v>0</v>
      </c>
      <c r="V51" t="b">
        <v>1</v>
      </c>
    </row>
    <row r="52" spans="1:22" x14ac:dyDescent="0.3">
      <c r="A52" t="s">
        <v>907</v>
      </c>
      <c r="B52">
        <v>2024</v>
      </c>
      <c r="C52" t="s">
        <v>881</v>
      </c>
      <c r="D52" t="s">
        <v>21</v>
      </c>
      <c r="E52" t="s">
        <v>908</v>
      </c>
      <c r="F52" t="s">
        <v>23</v>
      </c>
      <c r="G52" t="s">
        <v>24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</v>
      </c>
      <c r="U52">
        <v>0</v>
      </c>
      <c r="V52" t="b">
        <v>1</v>
      </c>
    </row>
    <row r="53" spans="1:22" x14ac:dyDescent="0.3">
      <c r="A53" t="s">
        <v>913</v>
      </c>
      <c r="B53">
        <v>2024</v>
      </c>
      <c r="C53" t="s">
        <v>841</v>
      </c>
      <c r="D53" t="s">
        <v>21</v>
      </c>
      <c r="E53" t="s">
        <v>914</v>
      </c>
      <c r="F53" t="s">
        <v>23</v>
      </c>
      <c r="G53" t="s">
        <v>24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5</v>
      </c>
      <c r="U53">
        <v>0</v>
      </c>
      <c r="V53" t="b">
        <v>1</v>
      </c>
    </row>
    <row r="54" spans="1:22" x14ac:dyDescent="0.3">
      <c r="A54" t="s">
        <v>927</v>
      </c>
      <c r="B54">
        <v>2024</v>
      </c>
      <c r="C54" t="s">
        <v>838</v>
      </c>
      <c r="D54" t="s">
        <v>21</v>
      </c>
      <c r="E54" t="s">
        <v>928</v>
      </c>
      <c r="F54" t="s">
        <v>35</v>
      </c>
      <c r="G54" t="s">
        <v>24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</v>
      </c>
      <c r="U54">
        <v>0</v>
      </c>
      <c r="V54" t="b">
        <v>1</v>
      </c>
    </row>
    <row r="55" spans="1:22" x14ac:dyDescent="0.3">
      <c r="A55" t="s">
        <v>940</v>
      </c>
      <c r="B55">
        <v>2024</v>
      </c>
      <c r="C55" t="s">
        <v>838</v>
      </c>
      <c r="D55" t="s">
        <v>21</v>
      </c>
      <c r="E55" t="s">
        <v>941</v>
      </c>
      <c r="F55" t="s">
        <v>35</v>
      </c>
      <c r="G55" t="s">
        <v>24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</v>
      </c>
      <c r="U55">
        <v>0</v>
      </c>
      <c r="V55" t="b">
        <v>1</v>
      </c>
    </row>
    <row r="56" spans="1:22" x14ac:dyDescent="0.3">
      <c r="A56" t="s">
        <v>949</v>
      </c>
      <c r="B56">
        <v>2024</v>
      </c>
      <c r="C56" t="s">
        <v>881</v>
      </c>
      <c r="D56" t="s">
        <v>21</v>
      </c>
      <c r="E56" t="s">
        <v>950</v>
      </c>
      <c r="F56" t="s">
        <v>23</v>
      </c>
      <c r="G56" t="s">
        <v>24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</v>
      </c>
      <c r="U56">
        <v>0</v>
      </c>
      <c r="V56" t="b">
        <v>1</v>
      </c>
    </row>
    <row r="57" spans="1:22" x14ac:dyDescent="0.3">
      <c r="A57" t="s">
        <v>980</v>
      </c>
      <c r="B57">
        <v>2024</v>
      </c>
      <c r="C57" t="s">
        <v>869</v>
      </c>
      <c r="D57" t="s">
        <v>21</v>
      </c>
      <c r="E57" t="s">
        <v>981</v>
      </c>
      <c r="F57" t="s">
        <v>23</v>
      </c>
      <c r="G57" t="s">
        <v>24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</v>
      </c>
      <c r="U57">
        <v>0</v>
      </c>
      <c r="V57" t="b">
        <v>1</v>
      </c>
    </row>
    <row r="58" spans="1:22" x14ac:dyDescent="0.3">
      <c r="A58" t="s">
        <v>997</v>
      </c>
      <c r="B58">
        <v>2024</v>
      </c>
      <c r="C58" t="s">
        <v>998</v>
      </c>
      <c r="D58" t="s">
        <v>21</v>
      </c>
      <c r="E58" t="s">
        <v>999</v>
      </c>
      <c r="F58" t="s">
        <v>23</v>
      </c>
      <c r="G58" t="s">
        <v>24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</v>
      </c>
      <c r="U58">
        <v>0</v>
      </c>
      <c r="V58" t="b">
        <v>1</v>
      </c>
    </row>
    <row r="59" spans="1:22" x14ac:dyDescent="0.3">
      <c r="A59" t="s">
        <v>1003</v>
      </c>
      <c r="B59">
        <v>2024</v>
      </c>
      <c r="C59" t="s">
        <v>133</v>
      </c>
      <c r="D59" t="s">
        <v>130</v>
      </c>
      <c r="E59" t="s">
        <v>1004</v>
      </c>
      <c r="F59" t="s">
        <v>39</v>
      </c>
      <c r="G59" t="s">
        <v>24</v>
      </c>
      <c r="H59">
        <v>1</v>
      </c>
      <c r="I59">
        <v>1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</v>
      </c>
      <c r="U59">
        <v>0</v>
      </c>
      <c r="V59" t="b">
        <v>1</v>
      </c>
    </row>
    <row r="60" spans="1:22" x14ac:dyDescent="0.3">
      <c r="A60" t="s">
        <v>1008</v>
      </c>
      <c r="B60">
        <v>2024</v>
      </c>
      <c r="C60" t="s">
        <v>1009</v>
      </c>
      <c r="D60" t="s">
        <v>21</v>
      </c>
      <c r="E60" t="s">
        <v>1010</v>
      </c>
      <c r="F60" t="s">
        <v>23</v>
      </c>
      <c r="G60" t="s">
        <v>24</v>
      </c>
      <c r="H60">
        <v>1</v>
      </c>
      <c r="I60">
        <v>1</v>
      </c>
      <c r="J60">
        <v>0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</v>
      </c>
      <c r="U60">
        <v>0</v>
      </c>
      <c r="V60" t="b">
        <v>1</v>
      </c>
    </row>
    <row r="61" spans="1:22" x14ac:dyDescent="0.3">
      <c r="A61" t="s">
        <v>1018</v>
      </c>
      <c r="B61">
        <v>2024</v>
      </c>
      <c r="C61" t="s">
        <v>1019</v>
      </c>
      <c r="D61" t="s">
        <v>21</v>
      </c>
      <c r="E61" t="s">
        <v>1020</v>
      </c>
      <c r="F61" t="s">
        <v>23</v>
      </c>
      <c r="G61" t="s">
        <v>24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</v>
      </c>
      <c r="U61">
        <v>0</v>
      </c>
      <c r="V61" t="b">
        <v>1</v>
      </c>
    </row>
    <row r="62" spans="1:22" x14ac:dyDescent="0.3">
      <c r="A62" t="s">
        <v>1027</v>
      </c>
      <c r="B62">
        <v>2024</v>
      </c>
      <c r="C62" t="s">
        <v>129</v>
      </c>
      <c r="D62" t="s">
        <v>130</v>
      </c>
      <c r="E62" t="s">
        <v>1028</v>
      </c>
      <c r="F62" t="s">
        <v>39</v>
      </c>
      <c r="G62" t="s">
        <v>24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</v>
      </c>
      <c r="U62">
        <v>0</v>
      </c>
      <c r="V62" t="b">
        <v>1</v>
      </c>
    </row>
    <row r="63" spans="1:22" x14ac:dyDescent="0.3">
      <c r="A63" t="s">
        <v>1032</v>
      </c>
      <c r="B63">
        <v>2024</v>
      </c>
      <c r="C63" t="s">
        <v>1033</v>
      </c>
      <c r="D63" t="s">
        <v>21</v>
      </c>
      <c r="E63" t="s">
        <v>1034</v>
      </c>
      <c r="F63" t="s">
        <v>23</v>
      </c>
      <c r="G63" t="s">
        <v>24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</v>
      </c>
      <c r="U63">
        <v>0</v>
      </c>
      <c r="V63" t="b">
        <v>1</v>
      </c>
    </row>
    <row r="64" spans="1:22" x14ac:dyDescent="0.3">
      <c r="A64" t="s">
        <v>1043</v>
      </c>
      <c r="B64">
        <v>2024</v>
      </c>
      <c r="C64" t="s">
        <v>1044</v>
      </c>
      <c r="D64" t="s">
        <v>130</v>
      </c>
      <c r="E64" t="s">
        <v>1045</v>
      </c>
      <c r="F64" t="s">
        <v>39</v>
      </c>
      <c r="G64" t="s">
        <v>24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</v>
      </c>
      <c r="U64">
        <v>0</v>
      </c>
      <c r="V64" t="b">
        <v>1</v>
      </c>
    </row>
    <row r="65" spans="1:22" x14ac:dyDescent="0.3">
      <c r="A65" t="s">
        <v>1081</v>
      </c>
      <c r="B65">
        <v>2024</v>
      </c>
      <c r="C65" t="s">
        <v>1082</v>
      </c>
      <c r="D65" t="s">
        <v>130</v>
      </c>
      <c r="E65" t="s">
        <v>1083</v>
      </c>
      <c r="F65" t="s">
        <v>31</v>
      </c>
      <c r="G65" t="s">
        <v>24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</v>
      </c>
      <c r="U65">
        <v>0</v>
      </c>
      <c r="V65" t="b">
        <v>1</v>
      </c>
    </row>
    <row r="66" spans="1:22" x14ac:dyDescent="0.3">
      <c r="A66" t="s">
        <v>1106</v>
      </c>
      <c r="B66">
        <v>2024</v>
      </c>
      <c r="C66" t="s">
        <v>1107</v>
      </c>
      <c r="D66" t="s">
        <v>29</v>
      </c>
      <c r="E66" t="s">
        <v>1108</v>
      </c>
      <c r="F66" t="s">
        <v>31</v>
      </c>
      <c r="G66" t="s">
        <v>24</v>
      </c>
      <c r="H66">
        <v>1</v>
      </c>
      <c r="I66">
        <v>1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5</v>
      </c>
      <c r="U66">
        <v>0</v>
      </c>
      <c r="V66" t="b">
        <v>1</v>
      </c>
    </row>
    <row r="67" spans="1:22" x14ac:dyDescent="0.3">
      <c r="A67" t="s">
        <v>1120</v>
      </c>
      <c r="B67">
        <v>2024</v>
      </c>
      <c r="C67" t="s">
        <v>1121</v>
      </c>
      <c r="D67" t="s">
        <v>21</v>
      </c>
      <c r="E67" t="s">
        <v>1122</v>
      </c>
      <c r="F67" t="s">
        <v>23</v>
      </c>
      <c r="G67" t="s">
        <v>24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5</v>
      </c>
      <c r="U67">
        <v>0</v>
      </c>
      <c r="V67" t="b">
        <v>1</v>
      </c>
    </row>
    <row r="68" spans="1:22" x14ac:dyDescent="0.3">
      <c r="A68" t="s">
        <v>1213</v>
      </c>
      <c r="B68">
        <v>2023</v>
      </c>
      <c r="C68" t="s">
        <v>53</v>
      </c>
      <c r="D68" t="s">
        <v>29</v>
      </c>
      <c r="E68" t="s">
        <v>1214</v>
      </c>
      <c r="F68" t="s">
        <v>31</v>
      </c>
      <c r="G68" t="s">
        <v>24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</v>
      </c>
      <c r="U68">
        <v>0</v>
      </c>
      <c r="V68" t="b">
        <v>1</v>
      </c>
    </row>
    <row r="69" spans="1:22" x14ac:dyDescent="0.3">
      <c r="A69" t="s">
        <v>1215</v>
      </c>
      <c r="B69">
        <v>2023</v>
      </c>
      <c r="C69" t="s">
        <v>418</v>
      </c>
      <c r="D69" t="s">
        <v>130</v>
      </c>
      <c r="E69" t="s">
        <v>1216</v>
      </c>
      <c r="F69" t="s">
        <v>31</v>
      </c>
      <c r="G69" t="s">
        <v>24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</v>
      </c>
      <c r="U69">
        <v>0</v>
      </c>
      <c r="V69" t="b">
        <v>1</v>
      </c>
    </row>
    <row r="70" spans="1:22" x14ac:dyDescent="0.3">
      <c r="A70" t="s">
        <v>1217</v>
      </c>
      <c r="B70">
        <v>2023</v>
      </c>
      <c r="C70" t="s">
        <v>1203</v>
      </c>
      <c r="D70" t="s">
        <v>21</v>
      </c>
      <c r="E70" t="s">
        <v>1218</v>
      </c>
      <c r="F70" t="s">
        <v>23</v>
      </c>
      <c r="G70" t="s">
        <v>24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5</v>
      </c>
      <c r="U70">
        <v>1</v>
      </c>
      <c r="V70" t="b">
        <v>1</v>
      </c>
    </row>
    <row r="71" spans="1:22" x14ac:dyDescent="0.3">
      <c r="A71" t="s">
        <v>1229</v>
      </c>
      <c r="B71">
        <v>2023</v>
      </c>
      <c r="C71" t="s">
        <v>1195</v>
      </c>
      <c r="D71" t="s">
        <v>21</v>
      </c>
      <c r="E71" t="s">
        <v>1230</v>
      </c>
      <c r="F71" t="s">
        <v>23</v>
      </c>
      <c r="G71" t="s">
        <v>24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</v>
      </c>
      <c r="U71">
        <v>0</v>
      </c>
      <c r="V71" t="b">
        <v>1</v>
      </c>
    </row>
    <row r="72" spans="1:22" x14ac:dyDescent="0.3">
      <c r="A72" t="s">
        <v>1240</v>
      </c>
      <c r="B72">
        <v>2023</v>
      </c>
      <c r="C72" t="s">
        <v>53</v>
      </c>
      <c r="D72" t="s">
        <v>29</v>
      </c>
      <c r="E72" t="s">
        <v>1241</v>
      </c>
      <c r="F72" t="s">
        <v>31</v>
      </c>
      <c r="G72" t="s">
        <v>24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</v>
      </c>
      <c r="U72">
        <v>0</v>
      </c>
      <c r="V72" t="b">
        <v>1</v>
      </c>
    </row>
    <row r="73" spans="1:22" x14ac:dyDescent="0.3">
      <c r="A73" t="s">
        <v>1262</v>
      </c>
      <c r="B73">
        <v>2023</v>
      </c>
      <c r="C73" t="s">
        <v>322</v>
      </c>
      <c r="D73" t="s">
        <v>323</v>
      </c>
      <c r="E73" t="s">
        <v>1263</v>
      </c>
      <c r="F73" t="s">
        <v>23</v>
      </c>
      <c r="G73" t="s">
        <v>24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</v>
      </c>
      <c r="U73">
        <v>0</v>
      </c>
      <c r="V73" t="b">
        <v>1</v>
      </c>
    </row>
    <row r="74" spans="1:22" x14ac:dyDescent="0.3">
      <c r="A74" t="s">
        <v>1276</v>
      </c>
      <c r="B74">
        <v>2023</v>
      </c>
      <c r="C74" t="s">
        <v>1203</v>
      </c>
      <c r="D74" t="s">
        <v>21</v>
      </c>
      <c r="E74" t="s">
        <v>1277</v>
      </c>
      <c r="F74" t="s">
        <v>23</v>
      </c>
      <c r="G74" t="s">
        <v>24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5</v>
      </c>
      <c r="U74">
        <v>1</v>
      </c>
      <c r="V74" t="b">
        <v>1</v>
      </c>
    </row>
    <row r="75" spans="1:22" x14ac:dyDescent="0.3">
      <c r="A75" t="s">
        <v>1339</v>
      </c>
      <c r="B75">
        <v>2023</v>
      </c>
      <c r="C75" t="s">
        <v>1340</v>
      </c>
      <c r="D75" t="s">
        <v>323</v>
      </c>
      <c r="E75" t="s">
        <v>1341</v>
      </c>
      <c r="F75" t="s">
        <v>23</v>
      </c>
      <c r="G75" t="s">
        <v>24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</v>
      </c>
      <c r="U75">
        <v>0</v>
      </c>
      <c r="V75" t="b">
        <v>1</v>
      </c>
    </row>
    <row r="76" spans="1:22" x14ac:dyDescent="0.3">
      <c r="A76" t="s">
        <v>1345</v>
      </c>
      <c r="B76">
        <v>2023</v>
      </c>
      <c r="C76" t="s">
        <v>133</v>
      </c>
      <c r="D76" t="s">
        <v>29</v>
      </c>
      <c r="E76" t="s">
        <v>1346</v>
      </c>
      <c r="F76" t="s">
        <v>39</v>
      </c>
      <c r="G76" t="s">
        <v>24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5</v>
      </c>
      <c r="U76">
        <v>0</v>
      </c>
      <c r="V76" t="b">
        <v>1</v>
      </c>
    </row>
    <row r="77" spans="1:22" x14ac:dyDescent="0.3">
      <c r="A77" t="s">
        <v>1347</v>
      </c>
      <c r="B77">
        <v>2023</v>
      </c>
      <c r="C77" t="s">
        <v>133</v>
      </c>
      <c r="D77" t="s">
        <v>29</v>
      </c>
      <c r="E77" t="s">
        <v>1348</v>
      </c>
      <c r="F77" t="s">
        <v>39</v>
      </c>
      <c r="G77" t="s">
        <v>24</v>
      </c>
      <c r="H77">
        <v>1</v>
      </c>
      <c r="I77">
        <v>1</v>
      </c>
      <c r="J77">
        <v>0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5</v>
      </c>
      <c r="U77">
        <v>0</v>
      </c>
      <c r="V77" t="b">
        <v>1</v>
      </c>
    </row>
    <row r="78" spans="1:22" x14ac:dyDescent="0.3">
      <c r="A78" t="s">
        <v>1349</v>
      </c>
      <c r="B78">
        <v>2023</v>
      </c>
      <c r="C78" t="s">
        <v>1350</v>
      </c>
      <c r="D78" t="s">
        <v>323</v>
      </c>
      <c r="E78" t="s">
        <v>1351</v>
      </c>
      <c r="F78" t="s">
        <v>23</v>
      </c>
      <c r="G78" t="s">
        <v>24</v>
      </c>
      <c r="H78">
        <v>1</v>
      </c>
      <c r="I78">
        <v>1</v>
      </c>
      <c r="J78">
        <v>0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</v>
      </c>
      <c r="U78">
        <v>0</v>
      </c>
      <c r="V78" t="b">
        <v>1</v>
      </c>
    </row>
    <row r="79" spans="1:22" x14ac:dyDescent="0.3">
      <c r="A79" t="s">
        <v>1352</v>
      </c>
      <c r="B79">
        <v>2023</v>
      </c>
      <c r="C79" t="s">
        <v>129</v>
      </c>
      <c r="D79" t="s">
        <v>130</v>
      </c>
      <c r="E79" t="s">
        <v>1353</v>
      </c>
      <c r="F79" t="s">
        <v>39</v>
      </c>
      <c r="G79" t="s">
        <v>24</v>
      </c>
      <c r="H79">
        <v>1</v>
      </c>
      <c r="I79">
        <v>1</v>
      </c>
      <c r="J79">
        <v>0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</v>
      </c>
      <c r="U79">
        <v>0</v>
      </c>
      <c r="V79" t="b">
        <v>1</v>
      </c>
    </row>
    <row r="80" spans="1:22" x14ac:dyDescent="0.3">
      <c r="A80" t="s">
        <v>1359</v>
      </c>
      <c r="B80">
        <v>2023</v>
      </c>
      <c r="C80" t="s">
        <v>1360</v>
      </c>
      <c r="D80" t="s">
        <v>323</v>
      </c>
      <c r="E80" t="s">
        <v>1361</v>
      </c>
      <c r="F80" t="s">
        <v>994</v>
      </c>
      <c r="G80" t="s">
        <v>24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</v>
      </c>
      <c r="U80">
        <v>0</v>
      </c>
      <c r="V80" t="b">
        <v>1</v>
      </c>
    </row>
    <row r="81" spans="1:22" x14ac:dyDescent="0.3">
      <c r="A81" t="s">
        <v>1362</v>
      </c>
      <c r="B81">
        <v>2023</v>
      </c>
      <c r="C81" t="s">
        <v>133</v>
      </c>
      <c r="D81" t="s">
        <v>29</v>
      </c>
      <c r="E81" t="s">
        <v>1363</v>
      </c>
      <c r="F81" t="s">
        <v>39</v>
      </c>
      <c r="G81" t="s">
        <v>24</v>
      </c>
      <c r="H81">
        <v>1</v>
      </c>
      <c r="I81">
        <v>1</v>
      </c>
      <c r="J81">
        <v>0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</v>
      </c>
      <c r="U81">
        <v>0</v>
      </c>
      <c r="V81" t="b">
        <v>1</v>
      </c>
    </row>
    <row r="82" spans="1:22" x14ac:dyDescent="0.3">
      <c r="A82" t="s">
        <v>1371</v>
      </c>
      <c r="B82">
        <v>2023</v>
      </c>
      <c r="C82" t="s">
        <v>133</v>
      </c>
      <c r="D82" t="s">
        <v>29</v>
      </c>
      <c r="E82" t="s">
        <v>1372</v>
      </c>
      <c r="F82" t="s">
        <v>39</v>
      </c>
      <c r="G82" t="s">
        <v>24</v>
      </c>
      <c r="H82">
        <v>1</v>
      </c>
      <c r="I82">
        <v>1</v>
      </c>
      <c r="J82">
        <v>0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</v>
      </c>
      <c r="U82">
        <v>0</v>
      </c>
      <c r="V82" t="b">
        <v>1</v>
      </c>
    </row>
    <row r="83" spans="1:22" x14ac:dyDescent="0.3">
      <c r="A83" t="s">
        <v>1373</v>
      </c>
      <c r="B83">
        <v>2023</v>
      </c>
      <c r="C83" t="s">
        <v>1071</v>
      </c>
      <c r="D83" t="s">
        <v>29</v>
      </c>
      <c r="E83" t="s">
        <v>1374</v>
      </c>
      <c r="F83" t="s">
        <v>39</v>
      </c>
      <c r="G83" t="s">
        <v>24</v>
      </c>
      <c r="H83">
        <v>1</v>
      </c>
      <c r="I83">
        <v>1</v>
      </c>
      <c r="J83">
        <v>0</v>
      </c>
      <c r="K83">
        <v>1</v>
      </c>
      <c r="L83">
        <v>1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5</v>
      </c>
      <c r="U83">
        <v>1</v>
      </c>
      <c r="V83" t="b">
        <v>1</v>
      </c>
    </row>
    <row r="84" spans="1:22" x14ac:dyDescent="0.3">
      <c r="A84" t="s">
        <v>1378</v>
      </c>
      <c r="B84">
        <v>2023</v>
      </c>
      <c r="C84" t="s">
        <v>1355</v>
      </c>
      <c r="D84" t="s">
        <v>21</v>
      </c>
      <c r="E84" t="s">
        <v>1379</v>
      </c>
      <c r="F84" t="s">
        <v>23</v>
      </c>
      <c r="G84" t="s">
        <v>24</v>
      </c>
      <c r="H84">
        <v>1</v>
      </c>
      <c r="I84">
        <v>1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</v>
      </c>
      <c r="U84">
        <v>0</v>
      </c>
      <c r="V84" t="b">
        <v>1</v>
      </c>
    </row>
    <row r="85" spans="1:22" x14ac:dyDescent="0.3">
      <c r="A85" t="s">
        <v>1385</v>
      </c>
      <c r="B85">
        <v>2023</v>
      </c>
      <c r="C85" t="s">
        <v>133</v>
      </c>
      <c r="D85" t="s">
        <v>29</v>
      </c>
      <c r="E85" t="s">
        <v>1386</v>
      </c>
      <c r="F85" t="s">
        <v>39</v>
      </c>
      <c r="G85" t="s">
        <v>24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</v>
      </c>
      <c r="U85">
        <v>0</v>
      </c>
      <c r="V85" t="b">
        <v>1</v>
      </c>
    </row>
    <row r="86" spans="1:22" x14ac:dyDescent="0.3">
      <c r="A86" t="s">
        <v>1413</v>
      </c>
      <c r="B86">
        <v>2023</v>
      </c>
      <c r="C86" t="s">
        <v>209</v>
      </c>
      <c r="D86" t="s">
        <v>29</v>
      </c>
      <c r="E86" t="s">
        <v>1414</v>
      </c>
      <c r="F86" t="s">
        <v>39</v>
      </c>
      <c r="G86" t="s">
        <v>24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</v>
      </c>
      <c r="U86">
        <v>0</v>
      </c>
      <c r="V86" t="b">
        <v>1</v>
      </c>
    </row>
    <row r="87" spans="1:22" x14ac:dyDescent="0.3">
      <c r="A87" t="s">
        <v>1415</v>
      </c>
      <c r="B87">
        <v>2023</v>
      </c>
      <c r="C87" t="s">
        <v>221</v>
      </c>
      <c r="D87" t="s">
        <v>29</v>
      </c>
      <c r="E87" t="s">
        <v>1416</v>
      </c>
      <c r="F87" t="s">
        <v>39</v>
      </c>
      <c r="G87" t="s">
        <v>24</v>
      </c>
      <c r="H87">
        <v>1</v>
      </c>
      <c r="I87">
        <v>1</v>
      </c>
      <c r="J87">
        <v>0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</v>
      </c>
      <c r="U87">
        <v>0</v>
      </c>
      <c r="V87" t="b">
        <v>1</v>
      </c>
    </row>
    <row r="88" spans="1:22" x14ac:dyDescent="0.3">
      <c r="A88" t="s">
        <v>1471</v>
      </c>
      <c r="B88">
        <v>2022</v>
      </c>
      <c r="C88" t="s">
        <v>1472</v>
      </c>
      <c r="D88" t="s">
        <v>21</v>
      </c>
      <c r="E88" t="s">
        <v>1473</v>
      </c>
      <c r="F88" t="s">
        <v>23</v>
      </c>
      <c r="G88" t="s">
        <v>24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</v>
      </c>
      <c r="U88">
        <v>0</v>
      </c>
      <c r="V88" t="b">
        <v>1</v>
      </c>
    </row>
    <row r="89" spans="1:22" x14ac:dyDescent="0.3">
      <c r="A89" t="s">
        <v>1477</v>
      </c>
      <c r="B89">
        <v>2022</v>
      </c>
      <c r="C89" t="s">
        <v>1478</v>
      </c>
      <c r="D89" t="s">
        <v>21</v>
      </c>
      <c r="E89" t="s">
        <v>1479</v>
      </c>
      <c r="F89" t="s">
        <v>23</v>
      </c>
      <c r="G89" t="s">
        <v>24</v>
      </c>
      <c r="H89">
        <v>1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5</v>
      </c>
      <c r="U89">
        <v>0</v>
      </c>
      <c r="V89" t="b">
        <v>1</v>
      </c>
    </row>
    <row r="90" spans="1:22" x14ac:dyDescent="0.3">
      <c r="A90" t="s">
        <v>1502</v>
      </c>
      <c r="B90">
        <v>2022</v>
      </c>
      <c r="C90" t="s">
        <v>1503</v>
      </c>
      <c r="D90" t="s">
        <v>21</v>
      </c>
      <c r="E90" t="s">
        <v>1504</v>
      </c>
      <c r="F90" t="s">
        <v>35</v>
      </c>
      <c r="G90" t="s">
        <v>24</v>
      </c>
      <c r="H90">
        <v>1</v>
      </c>
      <c r="I90">
        <v>1</v>
      </c>
      <c r="J90">
        <v>0</v>
      </c>
      <c r="K90">
        <v>1</v>
      </c>
      <c r="L90">
        <v>1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5</v>
      </c>
      <c r="U90">
        <v>1</v>
      </c>
      <c r="V90" t="b">
        <v>1</v>
      </c>
    </row>
    <row r="91" spans="1:22" x14ac:dyDescent="0.3">
      <c r="A91" t="s">
        <v>1510</v>
      </c>
      <c r="B91">
        <v>2022</v>
      </c>
      <c r="C91" t="s">
        <v>1466</v>
      </c>
      <c r="D91" t="s">
        <v>21</v>
      </c>
      <c r="E91" t="s">
        <v>1511</v>
      </c>
      <c r="F91" t="s">
        <v>23</v>
      </c>
      <c r="G91" t="s">
        <v>24</v>
      </c>
      <c r="H91">
        <v>1</v>
      </c>
      <c r="I91">
        <v>1</v>
      </c>
      <c r="J91">
        <v>0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</v>
      </c>
      <c r="U91">
        <v>0</v>
      </c>
      <c r="V91" t="b">
        <v>1</v>
      </c>
    </row>
    <row r="92" spans="1:22" x14ac:dyDescent="0.3">
      <c r="A92" t="s">
        <v>1523</v>
      </c>
      <c r="B92">
        <v>2022</v>
      </c>
      <c r="C92" t="s">
        <v>1475</v>
      </c>
      <c r="D92" t="s">
        <v>21</v>
      </c>
      <c r="E92" t="s">
        <v>1524</v>
      </c>
      <c r="F92" t="s">
        <v>23</v>
      </c>
      <c r="G92" t="s">
        <v>24</v>
      </c>
      <c r="H92">
        <v>1</v>
      </c>
      <c r="I92">
        <v>1</v>
      </c>
      <c r="J92">
        <v>0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</v>
      </c>
      <c r="U92">
        <v>0</v>
      </c>
      <c r="V92" t="b">
        <v>1</v>
      </c>
    </row>
    <row r="93" spans="1:22" x14ac:dyDescent="0.3">
      <c r="A93" t="s">
        <v>1525</v>
      </c>
      <c r="B93">
        <v>2022</v>
      </c>
      <c r="C93" t="s">
        <v>347</v>
      </c>
      <c r="D93" t="s">
        <v>323</v>
      </c>
      <c r="E93" t="s">
        <v>1526</v>
      </c>
      <c r="F93" t="s">
        <v>23</v>
      </c>
      <c r="G93" t="s">
        <v>24</v>
      </c>
      <c r="H93">
        <v>1</v>
      </c>
      <c r="I93">
        <v>1</v>
      </c>
      <c r="J93">
        <v>0</v>
      </c>
      <c r="K93">
        <v>1</v>
      </c>
      <c r="L93">
        <v>1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5</v>
      </c>
      <c r="U93">
        <v>1</v>
      </c>
      <c r="V93" t="b">
        <v>1</v>
      </c>
    </row>
    <row r="94" spans="1:22" x14ac:dyDescent="0.3">
      <c r="A94" t="s">
        <v>1553</v>
      </c>
      <c r="B94">
        <v>2022</v>
      </c>
      <c r="C94" t="s">
        <v>1503</v>
      </c>
      <c r="D94" t="s">
        <v>21</v>
      </c>
      <c r="E94" t="s">
        <v>1554</v>
      </c>
      <c r="F94" t="s">
        <v>35</v>
      </c>
      <c r="G94" t="s">
        <v>24</v>
      </c>
      <c r="H94">
        <v>1</v>
      </c>
      <c r="I94">
        <v>1</v>
      </c>
      <c r="J94">
        <v>0</v>
      </c>
      <c r="K94">
        <v>1</v>
      </c>
      <c r="L94">
        <v>1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5</v>
      </c>
      <c r="U94">
        <v>1</v>
      </c>
      <c r="V94" t="b">
        <v>1</v>
      </c>
    </row>
    <row r="95" spans="1:22" x14ac:dyDescent="0.3">
      <c r="A95" t="s">
        <v>1559</v>
      </c>
      <c r="B95">
        <v>2022</v>
      </c>
      <c r="C95" t="s">
        <v>1478</v>
      </c>
      <c r="D95" t="s">
        <v>21</v>
      </c>
      <c r="E95" t="s">
        <v>1560</v>
      </c>
      <c r="F95" t="s">
        <v>23</v>
      </c>
      <c r="G95" t="s">
        <v>24</v>
      </c>
      <c r="H95">
        <v>1</v>
      </c>
      <c r="I95">
        <v>1</v>
      </c>
      <c r="J95">
        <v>0</v>
      </c>
      <c r="K95">
        <v>1</v>
      </c>
      <c r="L95">
        <v>1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5</v>
      </c>
      <c r="U95">
        <v>1</v>
      </c>
      <c r="V95" t="b">
        <v>1</v>
      </c>
    </row>
    <row r="96" spans="1:22" x14ac:dyDescent="0.3">
      <c r="A96" t="s">
        <v>1567</v>
      </c>
      <c r="B96">
        <v>2022</v>
      </c>
      <c r="C96" t="s">
        <v>53</v>
      </c>
      <c r="D96" t="s">
        <v>29</v>
      </c>
      <c r="E96" t="s">
        <v>1568</v>
      </c>
      <c r="F96" t="s">
        <v>31</v>
      </c>
      <c r="G96" t="s">
        <v>24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</v>
      </c>
      <c r="U96">
        <v>0</v>
      </c>
      <c r="V96" t="b">
        <v>1</v>
      </c>
    </row>
    <row r="97" spans="1:22" x14ac:dyDescent="0.3">
      <c r="A97" t="s">
        <v>1587</v>
      </c>
      <c r="B97">
        <v>2022</v>
      </c>
      <c r="C97" t="s">
        <v>1481</v>
      </c>
      <c r="D97" t="s">
        <v>21</v>
      </c>
      <c r="E97" t="s">
        <v>1588</v>
      </c>
      <c r="F97" t="s">
        <v>23</v>
      </c>
      <c r="G97" t="s">
        <v>24</v>
      </c>
      <c r="H97">
        <v>1</v>
      </c>
      <c r="I97">
        <v>1</v>
      </c>
      <c r="J97">
        <v>0</v>
      </c>
      <c r="K97">
        <v>1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</v>
      </c>
      <c r="U97">
        <v>0</v>
      </c>
      <c r="V97" t="b">
        <v>1</v>
      </c>
    </row>
    <row r="98" spans="1:22" x14ac:dyDescent="0.3">
      <c r="A98" t="s">
        <v>1612</v>
      </c>
      <c r="B98">
        <v>2022</v>
      </c>
      <c r="C98" t="s">
        <v>1613</v>
      </c>
      <c r="D98" t="s">
        <v>21</v>
      </c>
      <c r="E98" t="s">
        <v>1614</v>
      </c>
      <c r="F98" t="s">
        <v>23</v>
      </c>
      <c r="G98" t="s">
        <v>24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</v>
      </c>
      <c r="U98">
        <v>0</v>
      </c>
      <c r="V98" t="b">
        <v>1</v>
      </c>
    </row>
    <row r="99" spans="1:22" x14ac:dyDescent="0.3">
      <c r="A99" t="s">
        <v>1623</v>
      </c>
      <c r="B99">
        <v>2022</v>
      </c>
      <c r="C99" t="s">
        <v>133</v>
      </c>
      <c r="D99" t="s">
        <v>29</v>
      </c>
      <c r="E99" t="s">
        <v>1624</v>
      </c>
      <c r="F99" t="s">
        <v>39</v>
      </c>
      <c r="G99" t="s">
        <v>24</v>
      </c>
      <c r="H99">
        <v>1</v>
      </c>
      <c r="I99">
        <v>1</v>
      </c>
      <c r="J99">
        <v>0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</v>
      </c>
      <c r="U99">
        <v>0</v>
      </c>
      <c r="V99" t="b">
        <v>1</v>
      </c>
    </row>
    <row r="100" spans="1:22" x14ac:dyDescent="0.3">
      <c r="A100" t="s">
        <v>1631</v>
      </c>
      <c r="B100">
        <v>2022</v>
      </c>
      <c r="C100" t="s">
        <v>133</v>
      </c>
      <c r="D100" t="s">
        <v>130</v>
      </c>
      <c r="E100" t="s">
        <v>1632</v>
      </c>
      <c r="F100" t="s">
        <v>39</v>
      </c>
      <c r="G100" t="s">
        <v>24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</v>
      </c>
      <c r="U100">
        <v>0</v>
      </c>
      <c r="V100" t="b">
        <v>1</v>
      </c>
    </row>
    <row r="101" spans="1:22" x14ac:dyDescent="0.3">
      <c r="A101" t="s">
        <v>1633</v>
      </c>
      <c r="B101">
        <v>2022</v>
      </c>
      <c r="C101" t="s">
        <v>133</v>
      </c>
      <c r="D101" t="s">
        <v>29</v>
      </c>
      <c r="E101" t="s">
        <v>1634</v>
      </c>
      <c r="F101" t="s">
        <v>39</v>
      </c>
      <c r="G101" t="s">
        <v>24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5</v>
      </c>
      <c r="U101">
        <v>1</v>
      </c>
      <c r="V101" t="b">
        <v>1</v>
      </c>
    </row>
    <row r="102" spans="1:22" x14ac:dyDescent="0.3">
      <c r="A102" t="s">
        <v>1637</v>
      </c>
      <c r="B102">
        <v>2022</v>
      </c>
      <c r="C102" t="s">
        <v>133</v>
      </c>
      <c r="D102" t="s">
        <v>29</v>
      </c>
      <c r="E102" t="s">
        <v>1638</v>
      </c>
      <c r="F102" t="s">
        <v>39</v>
      </c>
      <c r="G102" t="s">
        <v>24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</v>
      </c>
      <c r="U102">
        <v>0</v>
      </c>
      <c r="V102" t="b">
        <v>1</v>
      </c>
    </row>
    <row r="103" spans="1:22" x14ac:dyDescent="0.3">
      <c r="A103" t="s">
        <v>1639</v>
      </c>
      <c r="B103">
        <v>2022</v>
      </c>
      <c r="C103" t="s">
        <v>133</v>
      </c>
      <c r="D103" t="s">
        <v>29</v>
      </c>
      <c r="E103" t="s">
        <v>1640</v>
      </c>
      <c r="F103" t="s">
        <v>39</v>
      </c>
      <c r="G103" t="s">
        <v>24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</v>
      </c>
      <c r="U103">
        <v>0</v>
      </c>
      <c r="V103" t="b">
        <v>1</v>
      </c>
    </row>
    <row r="104" spans="1:22" x14ac:dyDescent="0.3">
      <c r="A104" t="s">
        <v>1654</v>
      </c>
      <c r="B104">
        <v>2022</v>
      </c>
      <c r="C104" t="s">
        <v>133</v>
      </c>
      <c r="D104" t="s">
        <v>29</v>
      </c>
      <c r="E104" t="s">
        <v>1655</v>
      </c>
      <c r="F104" t="s">
        <v>39</v>
      </c>
      <c r="G104" t="s">
        <v>24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</v>
      </c>
      <c r="U104">
        <v>0</v>
      </c>
      <c r="V104" t="b">
        <v>1</v>
      </c>
    </row>
    <row r="105" spans="1:22" x14ac:dyDescent="0.3">
      <c r="A105" t="s">
        <v>1656</v>
      </c>
      <c r="B105">
        <v>2022</v>
      </c>
      <c r="C105" t="s">
        <v>133</v>
      </c>
      <c r="D105" t="s">
        <v>29</v>
      </c>
      <c r="E105" t="s">
        <v>1657</v>
      </c>
      <c r="F105" t="s">
        <v>39</v>
      </c>
      <c r="G105" t="s">
        <v>24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</v>
      </c>
      <c r="U105">
        <v>0</v>
      </c>
      <c r="V105" t="b">
        <v>1</v>
      </c>
    </row>
    <row r="106" spans="1:22" x14ac:dyDescent="0.3">
      <c r="A106" t="s">
        <v>1673</v>
      </c>
      <c r="B106">
        <v>2022</v>
      </c>
      <c r="C106" t="s">
        <v>209</v>
      </c>
      <c r="D106" t="s">
        <v>29</v>
      </c>
      <c r="E106" t="s">
        <v>1674</v>
      </c>
      <c r="F106" t="s">
        <v>39</v>
      </c>
      <c r="G106" t="s">
        <v>24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</v>
      </c>
      <c r="U106">
        <v>0</v>
      </c>
      <c r="V106" t="b">
        <v>1</v>
      </c>
    </row>
    <row r="107" spans="1:22" x14ac:dyDescent="0.3">
      <c r="A107" t="s">
        <v>1686</v>
      </c>
      <c r="B107">
        <v>2022</v>
      </c>
      <c r="C107" t="s">
        <v>203</v>
      </c>
      <c r="D107" t="s">
        <v>29</v>
      </c>
      <c r="E107" t="s">
        <v>1687</v>
      </c>
      <c r="F107" t="s">
        <v>31</v>
      </c>
      <c r="G107" t="s">
        <v>24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5</v>
      </c>
      <c r="U107">
        <v>1</v>
      </c>
      <c r="V107" t="b">
        <v>1</v>
      </c>
    </row>
    <row r="108" spans="1:22" x14ac:dyDescent="0.3">
      <c r="A108" t="s">
        <v>1688</v>
      </c>
      <c r="B108">
        <v>2022</v>
      </c>
      <c r="C108" t="s">
        <v>243</v>
      </c>
      <c r="D108" t="s">
        <v>21</v>
      </c>
      <c r="E108" t="s">
        <v>1689</v>
      </c>
      <c r="F108" t="s">
        <v>23</v>
      </c>
      <c r="G108" t="s">
        <v>24</v>
      </c>
      <c r="H108">
        <v>1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5</v>
      </c>
      <c r="U108">
        <v>1</v>
      </c>
      <c r="V108" t="b">
        <v>1</v>
      </c>
    </row>
    <row r="109" spans="1:22" x14ac:dyDescent="0.3">
      <c r="A109" t="s">
        <v>1716</v>
      </c>
      <c r="B109">
        <v>2022</v>
      </c>
      <c r="C109" t="s">
        <v>710</v>
      </c>
      <c r="D109" t="s">
        <v>29</v>
      </c>
      <c r="E109" t="s">
        <v>1717</v>
      </c>
      <c r="F109" t="s">
        <v>39</v>
      </c>
      <c r="G109" t="s">
        <v>24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5</v>
      </c>
      <c r="U109">
        <v>1</v>
      </c>
      <c r="V109" t="b">
        <v>1</v>
      </c>
    </row>
    <row r="110" spans="1:22" x14ac:dyDescent="0.3">
      <c r="A110" t="s">
        <v>1723</v>
      </c>
      <c r="B110">
        <v>2021</v>
      </c>
      <c r="C110" t="s">
        <v>53</v>
      </c>
      <c r="D110" t="s">
        <v>29</v>
      </c>
      <c r="E110" t="s">
        <v>1724</v>
      </c>
      <c r="F110" t="s">
        <v>31</v>
      </c>
      <c r="G110" t="s">
        <v>24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</v>
      </c>
      <c r="U110">
        <v>0</v>
      </c>
      <c r="V110" t="b">
        <v>1</v>
      </c>
    </row>
    <row r="111" spans="1:22" x14ac:dyDescent="0.3">
      <c r="A111" t="s">
        <v>1725</v>
      </c>
      <c r="B111">
        <v>2021</v>
      </c>
      <c r="C111" t="s">
        <v>1726</v>
      </c>
      <c r="D111" t="s">
        <v>21</v>
      </c>
      <c r="E111" t="s">
        <v>1727</v>
      </c>
      <c r="F111" t="s">
        <v>23</v>
      </c>
      <c r="G111" t="s">
        <v>24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5</v>
      </c>
      <c r="U111">
        <v>1</v>
      </c>
      <c r="V111" t="b">
        <v>1</v>
      </c>
    </row>
    <row r="112" spans="1:22" x14ac:dyDescent="0.3">
      <c r="A112" t="s">
        <v>1731</v>
      </c>
      <c r="B112">
        <v>2021</v>
      </c>
      <c r="C112" t="s">
        <v>1732</v>
      </c>
      <c r="D112" t="s">
        <v>323</v>
      </c>
      <c r="E112" t="s">
        <v>1733</v>
      </c>
      <c r="F112" t="s">
        <v>23</v>
      </c>
      <c r="G112" t="s">
        <v>24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</v>
      </c>
      <c r="U112">
        <v>0</v>
      </c>
      <c r="V112" t="b">
        <v>1</v>
      </c>
    </row>
    <row r="113" spans="1:22" x14ac:dyDescent="0.3">
      <c r="A113" t="s">
        <v>1744</v>
      </c>
      <c r="B113">
        <v>2021</v>
      </c>
      <c r="C113" t="s">
        <v>1737</v>
      </c>
      <c r="D113" t="s">
        <v>21</v>
      </c>
      <c r="E113" t="s">
        <v>1745</v>
      </c>
      <c r="F113" t="s">
        <v>23</v>
      </c>
      <c r="G113" t="s">
        <v>24</v>
      </c>
      <c r="H113">
        <v>1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5</v>
      </c>
      <c r="U113">
        <v>1</v>
      </c>
      <c r="V113" t="b">
        <v>1</v>
      </c>
    </row>
    <row r="114" spans="1:22" x14ac:dyDescent="0.3">
      <c r="A114" t="s">
        <v>1785</v>
      </c>
      <c r="B114">
        <v>2021</v>
      </c>
      <c r="C114" t="s">
        <v>1737</v>
      </c>
      <c r="D114" t="s">
        <v>21</v>
      </c>
      <c r="E114" t="s">
        <v>1786</v>
      </c>
      <c r="F114" t="s">
        <v>23</v>
      </c>
      <c r="G114" t="s">
        <v>24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5</v>
      </c>
      <c r="U114">
        <v>1</v>
      </c>
      <c r="V114" t="b">
        <v>1</v>
      </c>
    </row>
    <row r="115" spans="1:22" x14ac:dyDescent="0.3">
      <c r="A115" t="s">
        <v>1815</v>
      </c>
      <c r="B115">
        <v>2021</v>
      </c>
      <c r="C115" t="s">
        <v>1816</v>
      </c>
      <c r="D115" t="s">
        <v>130</v>
      </c>
      <c r="E115" t="s">
        <v>1817</v>
      </c>
      <c r="F115" t="s">
        <v>31</v>
      </c>
      <c r="G115" t="s">
        <v>24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0</v>
      </c>
      <c r="V115" t="b">
        <v>1</v>
      </c>
    </row>
    <row r="116" spans="1:22" x14ac:dyDescent="0.3">
      <c r="A116" t="s">
        <v>1826</v>
      </c>
      <c r="B116">
        <v>2021</v>
      </c>
      <c r="C116" t="s">
        <v>133</v>
      </c>
      <c r="D116" t="s">
        <v>29</v>
      </c>
      <c r="E116" t="s">
        <v>1827</v>
      </c>
      <c r="F116" t="s">
        <v>39</v>
      </c>
      <c r="G116" t="s">
        <v>24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</v>
      </c>
      <c r="U116">
        <v>0</v>
      </c>
      <c r="V116" t="b">
        <v>1</v>
      </c>
    </row>
    <row r="117" spans="1:22" x14ac:dyDescent="0.3">
      <c r="A117" t="s">
        <v>1836</v>
      </c>
      <c r="B117">
        <v>2021</v>
      </c>
      <c r="C117" t="s">
        <v>133</v>
      </c>
      <c r="D117" t="s">
        <v>29</v>
      </c>
      <c r="E117" t="s">
        <v>1837</v>
      </c>
      <c r="F117" t="s">
        <v>39</v>
      </c>
      <c r="G117" t="s">
        <v>24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5</v>
      </c>
      <c r="U117">
        <v>1</v>
      </c>
      <c r="V117" t="b">
        <v>1</v>
      </c>
    </row>
    <row r="118" spans="1:22" x14ac:dyDescent="0.3">
      <c r="A118" t="s">
        <v>1844</v>
      </c>
      <c r="B118">
        <v>2021</v>
      </c>
      <c r="C118" t="s">
        <v>133</v>
      </c>
      <c r="D118" t="s">
        <v>29</v>
      </c>
      <c r="E118" t="s">
        <v>1845</v>
      </c>
      <c r="F118" t="s">
        <v>39</v>
      </c>
      <c r="G118" t="s">
        <v>24</v>
      </c>
      <c r="H118">
        <v>1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</v>
      </c>
      <c r="U118">
        <v>0</v>
      </c>
      <c r="V118" t="b">
        <v>1</v>
      </c>
    </row>
    <row r="119" spans="1:22" x14ac:dyDescent="0.3">
      <c r="A119" t="s">
        <v>1854</v>
      </c>
      <c r="B119">
        <v>2021</v>
      </c>
      <c r="C119" t="s">
        <v>133</v>
      </c>
      <c r="D119" t="s">
        <v>29</v>
      </c>
      <c r="E119" t="s">
        <v>1855</v>
      </c>
      <c r="F119" t="s">
        <v>39</v>
      </c>
      <c r="G119" t="s">
        <v>24</v>
      </c>
      <c r="H119">
        <v>1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</v>
      </c>
      <c r="U119">
        <v>0</v>
      </c>
      <c r="V119" t="b">
        <v>1</v>
      </c>
    </row>
    <row r="120" spans="1:22" x14ac:dyDescent="0.3">
      <c r="A120" t="s">
        <v>1863</v>
      </c>
      <c r="B120">
        <v>2021</v>
      </c>
      <c r="C120" t="s">
        <v>1864</v>
      </c>
      <c r="D120" t="s">
        <v>29</v>
      </c>
      <c r="E120" t="s">
        <v>1865</v>
      </c>
      <c r="F120" t="s">
        <v>31</v>
      </c>
      <c r="G120" t="s">
        <v>24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</v>
      </c>
      <c r="U120">
        <v>0</v>
      </c>
      <c r="V120" t="b">
        <v>1</v>
      </c>
    </row>
    <row r="121" spans="1:22" x14ac:dyDescent="0.3">
      <c r="A121" t="s">
        <v>1871</v>
      </c>
      <c r="B121">
        <v>2021</v>
      </c>
      <c r="C121" t="s">
        <v>1693</v>
      </c>
      <c r="D121" t="s">
        <v>29</v>
      </c>
      <c r="E121" t="s">
        <v>1872</v>
      </c>
      <c r="F121" t="s">
        <v>31</v>
      </c>
      <c r="G121" t="s">
        <v>24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5</v>
      </c>
      <c r="U121">
        <v>1</v>
      </c>
      <c r="V121" t="b">
        <v>1</v>
      </c>
    </row>
    <row r="122" spans="1:22" x14ac:dyDescent="0.3">
      <c r="A122" t="s">
        <v>1881</v>
      </c>
      <c r="B122">
        <v>2021</v>
      </c>
      <c r="C122" t="s">
        <v>221</v>
      </c>
      <c r="D122" t="s">
        <v>29</v>
      </c>
      <c r="E122" t="s">
        <v>1882</v>
      </c>
      <c r="F122" t="s">
        <v>39</v>
      </c>
      <c r="G122" t="s">
        <v>24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5</v>
      </c>
      <c r="U122">
        <v>0</v>
      </c>
      <c r="V122" t="b">
        <v>1</v>
      </c>
    </row>
    <row r="123" spans="1:22" x14ac:dyDescent="0.3">
      <c r="A123" t="s">
        <v>1903</v>
      </c>
      <c r="B123">
        <v>2020</v>
      </c>
      <c r="C123" t="s">
        <v>1904</v>
      </c>
      <c r="D123" t="s">
        <v>21</v>
      </c>
      <c r="E123" t="s">
        <v>1905</v>
      </c>
      <c r="F123" t="s">
        <v>23</v>
      </c>
      <c r="G123" t="s">
        <v>24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5</v>
      </c>
      <c r="U123">
        <v>0</v>
      </c>
      <c r="V123" t="b">
        <v>1</v>
      </c>
    </row>
    <row r="124" spans="1:22" x14ac:dyDescent="0.3">
      <c r="A124" t="s">
        <v>1906</v>
      </c>
      <c r="B124">
        <v>2020</v>
      </c>
      <c r="C124" t="s">
        <v>1907</v>
      </c>
      <c r="D124" t="s">
        <v>21</v>
      </c>
      <c r="E124" t="s">
        <v>1908</v>
      </c>
      <c r="F124" t="s">
        <v>23</v>
      </c>
      <c r="G124" t="s">
        <v>24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</v>
      </c>
      <c r="U124">
        <v>0</v>
      </c>
      <c r="V124" t="b">
        <v>1</v>
      </c>
    </row>
    <row r="125" spans="1:22" x14ac:dyDescent="0.3">
      <c r="A125" t="s">
        <v>1909</v>
      </c>
      <c r="B125">
        <v>2020</v>
      </c>
      <c r="C125" t="s">
        <v>1910</v>
      </c>
      <c r="D125" t="s">
        <v>21</v>
      </c>
      <c r="E125" t="s">
        <v>1911</v>
      </c>
      <c r="F125" t="s">
        <v>23</v>
      </c>
      <c r="G125" t="s">
        <v>24</v>
      </c>
      <c r="H125">
        <v>1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5</v>
      </c>
      <c r="U125">
        <v>1</v>
      </c>
      <c r="V125" t="b">
        <v>1</v>
      </c>
    </row>
    <row r="126" spans="1:22" x14ac:dyDescent="0.3">
      <c r="A126" t="s">
        <v>1935</v>
      </c>
      <c r="B126">
        <v>2020</v>
      </c>
      <c r="C126" t="s">
        <v>630</v>
      </c>
      <c r="D126" t="s">
        <v>29</v>
      </c>
      <c r="E126" t="s">
        <v>1936</v>
      </c>
      <c r="F126" t="s">
        <v>39</v>
      </c>
      <c r="G126" t="s">
        <v>24</v>
      </c>
      <c r="H126">
        <v>1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</v>
      </c>
      <c r="U126">
        <v>0</v>
      </c>
      <c r="V126" t="b">
        <v>1</v>
      </c>
    </row>
    <row r="127" spans="1:22" x14ac:dyDescent="0.3">
      <c r="A127" t="s">
        <v>1950</v>
      </c>
      <c r="B127">
        <v>2020</v>
      </c>
      <c r="C127" t="s">
        <v>1910</v>
      </c>
      <c r="D127" t="s">
        <v>21</v>
      </c>
      <c r="E127" t="s">
        <v>1951</v>
      </c>
      <c r="F127" t="s">
        <v>23</v>
      </c>
      <c r="G127" t="s">
        <v>24</v>
      </c>
      <c r="H127">
        <v>1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</v>
      </c>
      <c r="U127">
        <v>0</v>
      </c>
      <c r="V127" t="b">
        <v>1</v>
      </c>
    </row>
    <row r="128" spans="1:22" x14ac:dyDescent="0.3">
      <c r="A128" t="s">
        <v>1981</v>
      </c>
      <c r="B128">
        <v>2020</v>
      </c>
      <c r="C128" t="s">
        <v>1982</v>
      </c>
      <c r="D128" t="s">
        <v>21</v>
      </c>
      <c r="E128" t="s">
        <v>1983</v>
      </c>
      <c r="F128" t="s">
        <v>23</v>
      </c>
      <c r="G128" t="s">
        <v>24</v>
      </c>
      <c r="H128">
        <v>1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5</v>
      </c>
      <c r="U128">
        <v>0</v>
      </c>
      <c r="V128" t="b">
        <v>1</v>
      </c>
    </row>
    <row r="129" spans="1:22" x14ac:dyDescent="0.3">
      <c r="A129" t="s">
        <v>1987</v>
      </c>
      <c r="B129">
        <v>2020</v>
      </c>
      <c r="C129" t="s">
        <v>1988</v>
      </c>
      <c r="D129" t="s">
        <v>323</v>
      </c>
      <c r="E129" t="s">
        <v>1989</v>
      </c>
      <c r="F129" t="s">
        <v>23</v>
      </c>
      <c r="G129" t="s">
        <v>24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6</v>
      </c>
      <c r="U129">
        <v>0</v>
      </c>
      <c r="V129" t="b">
        <v>1</v>
      </c>
    </row>
    <row r="130" spans="1:22" x14ac:dyDescent="0.3">
      <c r="A130" t="s">
        <v>1990</v>
      </c>
      <c r="B130">
        <v>2020</v>
      </c>
      <c r="C130" t="s">
        <v>133</v>
      </c>
      <c r="D130" t="s">
        <v>29</v>
      </c>
      <c r="E130" t="s">
        <v>1991</v>
      </c>
      <c r="F130" t="s">
        <v>39</v>
      </c>
      <c r="G130" t="s">
        <v>24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</v>
      </c>
      <c r="U130">
        <v>0</v>
      </c>
      <c r="V130" t="b">
        <v>1</v>
      </c>
    </row>
    <row r="131" spans="1:22" x14ac:dyDescent="0.3">
      <c r="A131" t="s">
        <v>2003</v>
      </c>
      <c r="B131">
        <v>2020</v>
      </c>
      <c r="C131" t="s">
        <v>2004</v>
      </c>
      <c r="D131" t="s">
        <v>21</v>
      </c>
      <c r="E131" t="s">
        <v>2005</v>
      </c>
      <c r="F131" t="s">
        <v>23</v>
      </c>
      <c r="G131" t="s">
        <v>24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5</v>
      </c>
      <c r="U131">
        <v>0</v>
      </c>
      <c r="V131" t="b">
        <v>1</v>
      </c>
    </row>
    <row r="132" spans="1:22" x14ac:dyDescent="0.3">
      <c r="A132" t="s">
        <v>2008</v>
      </c>
      <c r="B132">
        <v>2020</v>
      </c>
      <c r="C132" t="s">
        <v>129</v>
      </c>
      <c r="D132" t="s">
        <v>29</v>
      </c>
      <c r="E132" t="s">
        <v>2009</v>
      </c>
      <c r="F132" t="s">
        <v>39</v>
      </c>
      <c r="G132" t="s">
        <v>24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5</v>
      </c>
      <c r="U132">
        <v>0</v>
      </c>
      <c r="V132" t="b">
        <v>1</v>
      </c>
    </row>
    <row r="133" spans="1:22" x14ac:dyDescent="0.3">
      <c r="A133" t="s">
        <v>2042</v>
      </c>
      <c r="B133">
        <v>2019</v>
      </c>
      <c r="C133" t="s">
        <v>2043</v>
      </c>
      <c r="D133" t="s">
        <v>21</v>
      </c>
      <c r="E133" t="s">
        <v>2044</v>
      </c>
      <c r="F133" t="s">
        <v>23</v>
      </c>
      <c r="G133" t="s">
        <v>24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5</v>
      </c>
      <c r="U133">
        <v>1</v>
      </c>
      <c r="V133" t="b">
        <v>1</v>
      </c>
    </row>
    <row r="134" spans="1:22" x14ac:dyDescent="0.3">
      <c r="A134" t="s">
        <v>2045</v>
      </c>
      <c r="B134">
        <v>2019</v>
      </c>
      <c r="C134" t="s">
        <v>2046</v>
      </c>
      <c r="D134" t="s">
        <v>21</v>
      </c>
      <c r="E134" t="s">
        <v>2047</v>
      </c>
      <c r="F134" t="s">
        <v>23</v>
      </c>
      <c r="G134" t="s">
        <v>24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5</v>
      </c>
      <c r="U134">
        <v>0</v>
      </c>
      <c r="V134" t="b">
        <v>1</v>
      </c>
    </row>
    <row r="135" spans="1:22" x14ac:dyDescent="0.3">
      <c r="A135" t="s">
        <v>2085</v>
      </c>
      <c r="B135">
        <v>2019</v>
      </c>
      <c r="C135" t="s">
        <v>28</v>
      </c>
      <c r="D135" t="s">
        <v>29</v>
      </c>
      <c r="E135" t="s">
        <v>2086</v>
      </c>
      <c r="F135" t="s">
        <v>31</v>
      </c>
      <c r="G135" t="s">
        <v>24</v>
      </c>
      <c r="H135">
        <v>1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</v>
      </c>
      <c r="U135">
        <v>0</v>
      </c>
      <c r="V135" t="b">
        <v>1</v>
      </c>
    </row>
    <row r="136" spans="1:22" x14ac:dyDescent="0.3">
      <c r="A136" t="s">
        <v>2098</v>
      </c>
      <c r="B136">
        <v>2019</v>
      </c>
      <c r="C136" t="s">
        <v>2099</v>
      </c>
      <c r="D136" t="s">
        <v>323</v>
      </c>
      <c r="E136" t="s">
        <v>2100</v>
      </c>
      <c r="F136" t="s">
        <v>23</v>
      </c>
      <c r="G136" t="s">
        <v>24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</v>
      </c>
      <c r="U136">
        <v>0</v>
      </c>
      <c r="V136" t="b">
        <v>1</v>
      </c>
    </row>
    <row r="137" spans="1:22" x14ac:dyDescent="0.3">
      <c r="A137" t="s">
        <v>2107</v>
      </c>
      <c r="B137">
        <v>2019</v>
      </c>
      <c r="C137" t="s">
        <v>133</v>
      </c>
      <c r="D137" t="s">
        <v>130</v>
      </c>
      <c r="E137" t="s">
        <v>2108</v>
      </c>
      <c r="F137" t="s">
        <v>39</v>
      </c>
      <c r="G137" t="s">
        <v>24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5</v>
      </c>
      <c r="U137">
        <v>1</v>
      </c>
      <c r="V137" t="b">
        <v>1</v>
      </c>
    </row>
    <row r="138" spans="1:22" x14ac:dyDescent="0.3">
      <c r="A138" t="s">
        <v>2109</v>
      </c>
      <c r="B138">
        <v>2019</v>
      </c>
      <c r="C138" t="s">
        <v>1832</v>
      </c>
      <c r="D138" t="s">
        <v>29</v>
      </c>
      <c r="E138" t="s">
        <v>2110</v>
      </c>
      <c r="F138" t="s">
        <v>39</v>
      </c>
      <c r="G138" t="s">
        <v>24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5</v>
      </c>
      <c r="U138">
        <v>0</v>
      </c>
      <c r="V138" t="b">
        <v>1</v>
      </c>
    </row>
    <row r="139" spans="1:22" x14ac:dyDescent="0.3">
      <c r="A139" t="s">
        <v>2122</v>
      </c>
      <c r="B139">
        <v>2018</v>
      </c>
      <c r="C139" t="s">
        <v>2123</v>
      </c>
      <c r="D139" t="s">
        <v>21</v>
      </c>
      <c r="E139" t="s">
        <v>2124</v>
      </c>
      <c r="F139" t="s">
        <v>23</v>
      </c>
      <c r="G139" t="s">
        <v>24</v>
      </c>
      <c r="H139">
        <v>1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</v>
      </c>
      <c r="U139">
        <v>0</v>
      </c>
      <c r="V139" t="b">
        <v>1</v>
      </c>
    </row>
    <row r="140" spans="1:22" x14ac:dyDescent="0.3">
      <c r="A140" t="s">
        <v>2131</v>
      </c>
      <c r="B140">
        <v>2018</v>
      </c>
      <c r="C140" t="s">
        <v>37</v>
      </c>
      <c r="D140" t="s">
        <v>29</v>
      </c>
      <c r="E140" t="s">
        <v>2132</v>
      </c>
      <c r="F140" t="s">
        <v>39</v>
      </c>
      <c r="G140" t="s">
        <v>24</v>
      </c>
      <c r="H140">
        <v>1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</v>
      </c>
      <c r="U140">
        <v>0</v>
      </c>
      <c r="V140" t="b">
        <v>1</v>
      </c>
    </row>
    <row r="141" spans="1:22" x14ac:dyDescent="0.3">
      <c r="A141" t="s">
        <v>2144</v>
      </c>
      <c r="B141">
        <v>2018</v>
      </c>
      <c r="C141" t="s">
        <v>2126</v>
      </c>
      <c r="D141" t="s">
        <v>21</v>
      </c>
      <c r="E141" t="s">
        <v>2145</v>
      </c>
      <c r="F141" t="s">
        <v>23</v>
      </c>
      <c r="G141" t="s">
        <v>24</v>
      </c>
      <c r="H141">
        <v>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5</v>
      </c>
      <c r="U141">
        <v>1</v>
      </c>
      <c r="V141" t="b">
        <v>1</v>
      </c>
    </row>
    <row r="142" spans="1:22" x14ac:dyDescent="0.3">
      <c r="A142" t="s">
        <v>2165</v>
      </c>
      <c r="B142">
        <v>2018</v>
      </c>
      <c r="C142" t="s">
        <v>2166</v>
      </c>
      <c r="D142" t="s">
        <v>21</v>
      </c>
      <c r="E142" t="s">
        <v>2167</v>
      </c>
      <c r="F142" t="s">
        <v>35</v>
      </c>
      <c r="G142" t="s">
        <v>24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6</v>
      </c>
      <c r="U142">
        <v>0</v>
      </c>
      <c r="V142" t="b">
        <v>1</v>
      </c>
    </row>
    <row r="143" spans="1:22" x14ac:dyDescent="0.3">
      <c r="A143" t="s">
        <v>2171</v>
      </c>
      <c r="B143">
        <v>2018</v>
      </c>
      <c r="C143" t="s">
        <v>2172</v>
      </c>
      <c r="D143" t="s">
        <v>21</v>
      </c>
      <c r="E143" t="s">
        <v>2173</v>
      </c>
      <c r="F143" t="s">
        <v>2174</v>
      </c>
      <c r="G143" t="s">
        <v>24</v>
      </c>
      <c r="H143">
        <v>1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</v>
      </c>
      <c r="U143">
        <v>0</v>
      </c>
      <c r="V143" t="b">
        <v>1</v>
      </c>
    </row>
    <row r="144" spans="1:22" x14ac:dyDescent="0.3">
      <c r="A144" t="s">
        <v>2268</v>
      </c>
      <c r="B144">
        <v>2024</v>
      </c>
      <c r="C144" t="s">
        <v>2269</v>
      </c>
      <c r="D144" t="s">
        <v>323</v>
      </c>
      <c r="E144" t="s">
        <v>2270</v>
      </c>
      <c r="F144" t="s">
        <v>35</v>
      </c>
      <c r="G144" t="s">
        <v>24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6</v>
      </c>
      <c r="U144">
        <v>0</v>
      </c>
      <c r="V144" t="b">
        <v>1</v>
      </c>
    </row>
    <row r="145" spans="1:22" x14ac:dyDescent="0.3">
      <c r="A145" t="s">
        <v>2271</v>
      </c>
      <c r="B145">
        <v>2024</v>
      </c>
      <c r="C145" t="s">
        <v>2272</v>
      </c>
      <c r="D145" t="s">
        <v>323</v>
      </c>
      <c r="F145" t="s">
        <v>35</v>
      </c>
      <c r="G145" t="s">
        <v>24</v>
      </c>
      <c r="H145">
        <v>1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</v>
      </c>
      <c r="U145">
        <v>0</v>
      </c>
      <c r="V145" t="b">
        <v>1</v>
      </c>
    </row>
    <row r="146" spans="1:22" x14ac:dyDescent="0.3">
      <c r="A146" t="s">
        <v>2273</v>
      </c>
      <c r="B146">
        <v>2022</v>
      </c>
      <c r="C146" t="s">
        <v>2274</v>
      </c>
      <c r="D146" t="s">
        <v>21</v>
      </c>
      <c r="E146" t="s">
        <v>2275</v>
      </c>
      <c r="F146" t="s">
        <v>23</v>
      </c>
      <c r="G146" t="s">
        <v>24</v>
      </c>
      <c r="H146">
        <v>1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5</v>
      </c>
      <c r="U146">
        <v>1</v>
      </c>
      <c r="V146" t="b">
        <v>1</v>
      </c>
    </row>
    <row r="147" spans="1:22" x14ac:dyDescent="0.3">
      <c r="A147" t="s">
        <v>2276</v>
      </c>
      <c r="B147">
        <v>2022</v>
      </c>
      <c r="C147" t="s">
        <v>2274</v>
      </c>
      <c r="D147" t="s">
        <v>21</v>
      </c>
      <c r="E147" t="s">
        <v>1511</v>
      </c>
      <c r="F147" t="s">
        <v>23</v>
      </c>
      <c r="G147" t="s">
        <v>24</v>
      </c>
      <c r="H147">
        <v>1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5</v>
      </c>
      <c r="U147">
        <v>0</v>
      </c>
      <c r="V147" t="b">
        <v>1</v>
      </c>
    </row>
    <row r="148" spans="1:22" x14ac:dyDescent="0.3">
      <c r="A148" t="s">
        <v>2281</v>
      </c>
      <c r="B148">
        <v>2021</v>
      </c>
      <c r="C148" t="s">
        <v>2282</v>
      </c>
      <c r="D148" t="s">
        <v>21</v>
      </c>
      <c r="E148" t="s">
        <v>1733</v>
      </c>
      <c r="F148" t="s">
        <v>23</v>
      </c>
      <c r="G148" t="s">
        <v>24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</v>
      </c>
      <c r="U148">
        <v>0</v>
      </c>
      <c r="V148" t="b">
        <v>1</v>
      </c>
    </row>
    <row r="149" spans="1:22" x14ac:dyDescent="0.3">
      <c r="A149" t="s">
        <v>2290</v>
      </c>
      <c r="B149">
        <v>2020</v>
      </c>
      <c r="C149" t="s">
        <v>2289</v>
      </c>
      <c r="D149" t="s">
        <v>21</v>
      </c>
      <c r="E149" t="s">
        <v>2291</v>
      </c>
      <c r="F149" t="s">
        <v>23</v>
      </c>
      <c r="G149" t="s">
        <v>24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5</v>
      </c>
      <c r="U149">
        <v>1</v>
      </c>
      <c r="V149" t="b">
        <v>1</v>
      </c>
    </row>
    <row r="150" spans="1:22" x14ac:dyDescent="0.3">
      <c r="A150" t="s">
        <v>2301</v>
      </c>
      <c r="B150">
        <v>2018</v>
      </c>
      <c r="C150" t="s">
        <v>2302</v>
      </c>
      <c r="D150" t="s">
        <v>21</v>
      </c>
      <c r="E150" t="s">
        <v>2303</v>
      </c>
      <c r="F150" t="s">
        <v>23</v>
      </c>
      <c r="G150" t="s">
        <v>24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</v>
      </c>
      <c r="U150">
        <v>0</v>
      </c>
      <c r="V150" t="b">
        <v>1</v>
      </c>
    </row>
    <row r="151" spans="1:22" x14ac:dyDescent="0.3">
      <c r="A151" t="s">
        <v>2306</v>
      </c>
      <c r="B151">
        <v>2018</v>
      </c>
      <c r="C151" t="s">
        <v>2302</v>
      </c>
      <c r="D151" t="s">
        <v>21</v>
      </c>
      <c r="E151" t="s">
        <v>2307</v>
      </c>
      <c r="F151" t="s">
        <v>23</v>
      </c>
      <c r="G151" t="s">
        <v>24</v>
      </c>
      <c r="H151">
        <v>1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</v>
      </c>
      <c r="U151">
        <v>0</v>
      </c>
      <c r="V151" t="b">
        <v>1</v>
      </c>
    </row>
    <row r="152" spans="1:22" x14ac:dyDescent="0.3">
      <c r="A152" t="s">
        <v>2337</v>
      </c>
      <c r="B152">
        <v>2022</v>
      </c>
      <c r="C152" t="s">
        <v>2338</v>
      </c>
      <c r="D152" t="s">
        <v>2319</v>
      </c>
      <c r="E152" t="s">
        <v>2339</v>
      </c>
      <c r="F152" t="s">
        <v>35</v>
      </c>
      <c r="G152" t="s">
        <v>2321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</v>
      </c>
      <c r="U152">
        <v>1</v>
      </c>
      <c r="V152" t="b">
        <v>1</v>
      </c>
    </row>
    <row r="153" spans="1:22" x14ac:dyDescent="0.3">
      <c r="A153" t="s">
        <v>2502</v>
      </c>
      <c r="B153">
        <v>2022</v>
      </c>
      <c r="C153" t="s">
        <v>2503</v>
      </c>
      <c r="D153" t="s">
        <v>323</v>
      </c>
      <c r="E153" t="s">
        <v>2504</v>
      </c>
      <c r="G153" t="s">
        <v>2345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5</v>
      </c>
      <c r="U153">
        <v>1</v>
      </c>
      <c r="V153" t="b">
        <v>1</v>
      </c>
    </row>
  </sheetData>
  <conditionalFormatting sqref="V1:V153">
    <cfRule type="cellIs" dxfId="1" priority="1" operator="equal">
      <formula>TRUE</formula>
    </cfRule>
    <cfRule type="containsText" dxfId="0" priority="2" operator="containsText" text="FALSO">
      <formula>NOT(ISERROR(SEARCH("FALSO",V1)))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paper_ic_ec_mapping</vt:lpstr>
      <vt:lpstr>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Vittoriano Muttillo</cp:lastModifiedBy>
  <dcterms:created xsi:type="dcterms:W3CDTF">2026-04-12T18:46:05Z</dcterms:created>
  <dcterms:modified xsi:type="dcterms:W3CDTF">2026-04-14T22:03:22Z</dcterms:modified>
</cp:coreProperties>
</file>