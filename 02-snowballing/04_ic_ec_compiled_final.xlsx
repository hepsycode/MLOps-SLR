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vitto\Desktop\LAVORO-IMPORTANTE\SLIDE-x-MLOps\SOTA\Replication_Package\02-snowballing\"/>
    </mc:Choice>
  </mc:AlternateContent>
  <xr:revisionPtr revIDLastSave="0" documentId="13_ncr:1_{A3A06632-53D5-4793-9380-43E7DB0F3E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Sheet1!$V$1:$V$34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</calcChain>
</file>

<file path=xl/sharedStrings.xml><?xml version="1.0" encoding="utf-8"?>
<sst xmlns="http://schemas.openxmlformats.org/spreadsheetml/2006/main" count="187" uniqueCount="114">
  <si>
    <t>Title</t>
  </si>
  <si>
    <t>Year</t>
  </si>
  <si>
    <t>Source title</t>
  </si>
  <si>
    <t>Document Type</t>
  </si>
  <si>
    <t>DOI</t>
  </si>
  <si>
    <t>venue_classification</t>
  </si>
  <si>
    <t>selection_status_existing</t>
  </si>
  <si>
    <t>IC1_domain_context</t>
  </si>
  <si>
    <t>IC2_ml_ai_data_driven</t>
  </si>
  <si>
    <t>IC3_lifecycle_workflow_toolchain</t>
  </si>
  <si>
    <t>IC4_core_rq_alignment_proxy</t>
  </si>
  <si>
    <t>IC5_peer_reviewed_type_proxy</t>
  </si>
  <si>
    <t>IC6_ranked_venue_Q1Q2_or_A_B</t>
  </si>
  <si>
    <t>EC1_non_target_document_type</t>
  </si>
  <si>
    <t>EC2_low_or_missing_venue_classification</t>
  </si>
  <si>
    <t>EC3_isolated_task_paper_no_process_focus</t>
  </si>
  <si>
    <t>EC4_runtime_or_acceleration_only_proxy</t>
  </si>
  <si>
    <t>EC5_generic_ml_not_domain_specific</t>
  </si>
  <si>
    <t>EC6_generic_process_not_domain_specific</t>
  </si>
  <si>
    <t>IC</t>
  </si>
  <si>
    <t>EC</t>
  </si>
  <si>
    <t>Accepted</t>
  </si>
  <si>
    <t>MetaML-Pro: Cross-Stage Design Flow Automation for Efficient Deep Learning Acceleration</t>
  </si>
  <si>
    <t>ACM Transactions on Reconfigurable Technology and Systems</t>
  </si>
  <si>
    <t>Journal</t>
  </si>
  <si>
    <t>10.1145/3795794</t>
  </si>
  <si>
    <t>Q1</t>
  </si>
  <si>
    <t>hls4ml: A Flexible, Open-Source Platform for Deep Learning Acceleration on Reconfigurable Hardware</t>
  </si>
  <si>
    <t>10.1145/3801979</t>
  </si>
  <si>
    <t>da4ml: Distributed arithmetic for real-time neural networks on FPGAs</t>
  </si>
  <si>
    <t>10.1145/3777387</t>
  </si>
  <si>
    <t>Preplacement net length and timing estimation by customized graph neural network</t>
  </si>
  <si>
    <t>IEEE Transactions on Computer-Aided Design of Integrated Circuits and Systems</t>
  </si>
  <si>
    <t>10.1109/TCAD.2022.3149977</t>
  </si>
  <si>
    <t>VLSI placement parameter optimization using deep reinforcement learning</t>
  </si>
  <si>
    <t>International Conference on Computer-Aided Design</t>
  </si>
  <si>
    <t>Conference</t>
  </si>
  <si>
    <t>10.1145/3400302.3415690</t>
  </si>
  <si>
    <t>A</t>
  </si>
  <si>
    <t>A survey of graph neural networks for electronic design automation</t>
  </si>
  <si>
    <t>ACM/IEEE Workshop on Machine Learning for CAD</t>
  </si>
  <si>
    <t>Workshop</t>
  </si>
  <si>
    <t>10.1109/MLCAD52597.2021.9531070</t>
  </si>
  <si>
    <t>N.A.</t>
  </si>
  <si>
    <t>Generalizable cross-graph embedding for GNN-based congestion prediction</t>
  </si>
  <si>
    <t>International Conference On Computer Aided Design</t>
  </si>
  <si>
    <t>10.1109/ICCAD51958.2021.964344</t>
  </si>
  <si>
    <t>On joint learning for solving placement and routing in chip design</t>
  </si>
  <si>
    <t>10.48550/arXiv.2111.00234</t>
  </si>
  <si>
    <t>RL-Sizer: VLSI Gate Sizing for Timing Optimization using Deep Reinforcement Learning</t>
  </si>
  <si>
    <t>ACM/IEEE Design Automation Conference</t>
  </si>
  <si>
    <t>10.1109/DAC18074.2021.9586138</t>
  </si>
  <si>
    <t>A*</t>
  </si>
  <si>
    <t>The Law of Attraction: Affinity-Aware Placement Optimization Using Graph Neural Networks</t>
  </si>
  <si>
    <t>International Symposium on Physical Design</t>
  </si>
  <si>
    <t>10.1145/3439706.3447045</t>
  </si>
  <si>
    <t>A customized graph neural network model for guiding analog IC placement</t>
  </si>
  <si>
    <t>10.1145/3400302.3415624</t>
  </si>
  <si>
    <t>Accurate operation delay prediction for FPGA HLS using graph neural networks</t>
  </si>
  <si>
    <t>10.1145/3400302.3415657</t>
  </si>
  <si>
    <t>AutoDNNchip: An automated dnn chip predictor and builder for both FPGAs and ASICs</t>
  </si>
  <si>
    <t>International Symposium on Field-Programmable Gate Arrays</t>
  </si>
  <si>
    <t>10.1145/3373087.3375306</t>
  </si>
  <si>
    <t>Best of both worlds: Automl codesign of a cnn and its hardware accelerator</t>
  </si>
  <si>
    <t>10.1109/DAC18072.2020.9218596</t>
  </si>
  <si>
    <t>Heterogeneous Graph Neural Network-Based Imitation Learning for Gate Sizing Acceleration</t>
  </si>
  <si>
    <t>10.1145/3508352.3549361</t>
  </si>
  <si>
    <t>LHNN: lattice hypergraph neural network for VLSI congestion prediction</t>
  </si>
  <si>
    <t>10.1145/3489517.3530675</t>
  </si>
  <si>
    <t>Placement Optimization via PPA-Directed Graph Clustering</t>
  </si>
  <si>
    <t>10.1145/3551901.3556482</t>
  </si>
  <si>
    <t>ARCO: Adaptive Multi-Agent Reinforcement Learning-Based Hardware/Software Co-Optimization Compiler for Improved Performance in DNN Accelerator Design</t>
  </si>
  <si>
    <t>10.48550/arXiv.2407.08192</t>
  </si>
  <si>
    <t>Compiler Autotuning through Multiple-phase Learning</t>
  </si>
  <si>
    <t>ACM Transactions on Software Engineering and Methodology</t>
  </si>
  <si>
    <t>10.1145/3640330</t>
  </si>
  <si>
    <t>NNSmith: Generating Diverse and Valid Test Cases for Deep Learning Compilers</t>
  </si>
  <si>
    <t>International Conference on Architectural Support for Programming Languages and Operating Systems</t>
  </si>
  <si>
    <t>10.1145/3575693.3575707</t>
  </si>
  <si>
    <t>One-shot tuner for deep learning compilers</t>
  </si>
  <si>
    <t>International Conference on Compiler Construction</t>
  </si>
  <si>
    <t>10.1145/3497776.3517774</t>
  </si>
  <si>
    <t>B</t>
  </si>
  <si>
    <t>C2HLSC: Can LLMs Bridge the Software-to-Hardware Design Gap?</t>
  </si>
  <si>
    <t>IEEE LLM Aided Design Workshop</t>
  </si>
  <si>
    <t>10.1109/LAD62341.2024.10691856</t>
  </si>
  <si>
    <t>DAVE: Deriving automatically verilog from english</t>
  </si>
  <si>
    <t>10.1145/3380446.3430634</t>
  </si>
  <si>
    <t>TVM: An automated end-to-end optimizing compiler for deep learning</t>
  </si>
  <si>
    <t>USENIX conference on Operating Systems Design and Implementation</t>
  </si>
  <si>
    <t>High-Level Synthesis Performance Prediction using GNNs: Benchmarking, Modeling, and Advancing</t>
  </si>
  <si>
    <t>10.1145/3489517.3530408</t>
  </si>
  <si>
    <t>Machine Learning Based Framework for Fast Resource Estimation of RTL Designs Targeting FPGAs</t>
  </si>
  <si>
    <t>ACM Transactions on Design Automation of Electronic Systems</t>
  </si>
  <si>
    <t>10.1145/3555047</t>
  </si>
  <si>
    <t>Leveraging Machine Learning for Gate-level Timing Estimation Using Current Source Models and Effective Capacitance</t>
  </si>
  <si>
    <t>Great Lakes Symposium on VLSI</t>
  </si>
  <si>
    <t>10.1145/3526241.3530343</t>
  </si>
  <si>
    <t>A Comprehensive Survey on Electronic Design Automation and Graph Neural Networks: Theory and Applications</t>
  </si>
  <si>
    <t>10.1145/3543853</t>
  </si>
  <si>
    <t>AI-based estimation of embedded software execution cycles in host-compiled simulation</t>
  </si>
  <si>
    <t>Conference on Design of Circuits and Integrated Systems (DCIS)</t>
  </si>
  <si>
    <t>10.1109/DCIS62603.2024.10769196</t>
  </si>
  <si>
    <t>C</t>
  </si>
  <si>
    <t>Large Language Models for EDA: Future or Mirage?</t>
  </si>
  <si>
    <t>10.1145/3626184.3639700</t>
  </si>
  <si>
    <t>Deep Learning on RISC-V Platforms at the Edge: APerspective on the Hardware and Software Support</t>
  </si>
  <si>
    <t>ACM Computing Surveys</t>
  </si>
  <si>
    <t>10.1145/3772277</t>
  </si>
  <si>
    <t>Leveraging Incremental Machine Learning forReconfigurable Systems Modeling under Dynamic Workloads</t>
  </si>
  <si>
    <t>10.1145/3715154</t>
  </si>
  <si>
    <t>Special Session: Machine Learning for Embedded System Design</t>
  </si>
  <si>
    <t>International Conference on Hardware/Software Codesign and System Synthesis</t>
  </si>
  <si>
    <t>10.1145/3607888.360896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</si>
</sst>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34"/>
  <sheetViews>
    <sheetView tabSelected="1" zoomScaleNormal="100" workbookViewId="0">
      <selection activeCell="V33" sqref="A1:V33"/>
    </sheetView>
  </sheetViews>
  <sheetFormatPr defaultRowHeight="14.4" x14ac:dyDescent="0.3"/>
  <cols>
    <col min="1" max="1" width="80.55468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>
        <v>2026</v>
      </c>
      <c r="C2" t="s">
        <v>23</v>
      </c>
      <c r="D2" t="s">
        <v>24</v>
      </c>
      <c r="E2" t="s">
        <v>25</v>
      </c>
      <c r="F2" t="s">
        <v>26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6</v>
      </c>
      <c r="U2">
        <v>0</v>
      </c>
      <c r="V2" t="str">
        <f>IF(AND(T2&gt;4,U2&lt;2),"VERO","FALSO")</f>
        <v>VERO</v>
      </c>
    </row>
    <row r="3" spans="1:22" hidden="1" x14ac:dyDescent="0.3">
      <c r="A3" t="s">
        <v>27</v>
      </c>
      <c r="B3">
        <v>2026</v>
      </c>
      <c r="C3" t="s">
        <v>23</v>
      </c>
      <c r="D3" t="s">
        <v>24</v>
      </c>
      <c r="E3" t="s">
        <v>28</v>
      </c>
      <c r="F3" t="s">
        <v>26</v>
      </c>
      <c r="H3">
        <v>1</v>
      </c>
      <c r="I3">
        <v>1</v>
      </c>
      <c r="J3">
        <v>0</v>
      </c>
      <c r="K3">
        <v>1</v>
      </c>
      <c r="L3">
        <v>1</v>
      </c>
      <c r="M3">
        <v>1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5</v>
      </c>
      <c r="U3">
        <v>2</v>
      </c>
      <c r="V3" t="str">
        <f t="shared" ref="V3:V34" si="0">IF(AND(T3&gt;4,U3&lt;2),"VERO","FALSO")</f>
        <v>FALSO</v>
      </c>
    </row>
    <row r="4" spans="1:22" hidden="1" x14ac:dyDescent="0.3">
      <c r="A4" t="s">
        <v>29</v>
      </c>
      <c r="B4">
        <v>2026</v>
      </c>
      <c r="C4" t="s">
        <v>23</v>
      </c>
      <c r="D4" t="s">
        <v>24</v>
      </c>
      <c r="E4" t="s">
        <v>30</v>
      </c>
      <c r="F4" t="s">
        <v>26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5</v>
      </c>
      <c r="U4">
        <v>2</v>
      </c>
      <c r="V4" t="str">
        <f t="shared" si="0"/>
        <v>FALSO</v>
      </c>
    </row>
    <row r="5" spans="1:22" x14ac:dyDescent="0.3">
      <c r="A5" t="s">
        <v>31</v>
      </c>
      <c r="B5">
        <v>2022</v>
      </c>
      <c r="C5" t="s">
        <v>32</v>
      </c>
      <c r="D5" t="s">
        <v>24</v>
      </c>
      <c r="E5" t="s">
        <v>33</v>
      </c>
      <c r="F5" t="s">
        <v>26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5</v>
      </c>
      <c r="U5">
        <v>1</v>
      </c>
      <c r="V5" t="str">
        <f t="shared" si="0"/>
        <v>VERO</v>
      </c>
    </row>
    <row r="6" spans="1:22" x14ac:dyDescent="0.3">
      <c r="A6" t="s">
        <v>34</v>
      </c>
      <c r="B6">
        <v>2020</v>
      </c>
      <c r="C6" t="s">
        <v>35</v>
      </c>
      <c r="D6" t="s">
        <v>36</v>
      </c>
      <c r="E6" t="s">
        <v>37</v>
      </c>
      <c r="F6" t="s">
        <v>38</v>
      </c>
      <c r="H6">
        <v>1</v>
      </c>
      <c r="I6">
        <v>1</v>
      </c>
      <c r="J6">
        <v>0</v>
      </c>
      <c r="K6">
        <v>1</v>
      </c>
      <c r="L6">
        <v>1</v>
      </c>
      <c r="M6">
        <v>1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5</v>
      </c>
      <c r="U6">
        <v>1</v>
      </c>
      <c r="V6" t="str">
        <f t="shared" si="0"/>
        <v>VERO</v>
      </c>
    </row>
    <row r="7" spans="1:22" hidden="1" x14ac:dyDescent="0.3">
      <c r="A7" t="s">
        <v>39</v>
      </c>
      <c r="B7">
        <v>2021</v>
      </c>
      <c r="C7" t="s">
        <v>40</v>
      </c>
      <c r="D7" t="s">
        <v>41</v>
      </c>
      <c r="E7" t="s">
        <v>42</v>
      </c>
      <c r="F7" t="s">
        <v>43</v>
      </c>
      <c r="H7">
        <v>1</v>
      </c>
      <c r="I7">
        <v>1</v>
      </c>
      <c r="J7">
        <v>0</v>
      </c>
      <c r="K7">
        <v>1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3</v>
      </c>
      <c r="U7">
        <v>2</v>
      </c>
      <c r="V7" t="str">
        <f t="shared" si="0"/>
        <v>FALSO</v>
      </c>
    </row>
    <row r="8" spans="1:22" x14ac:dyDescent="0.3">
      <c r="A8" t="s">
        <v>44</v>
      </c>
      <c r="B8">
        <v>2021</v>
      </c>
      <c r="C8" t="s">
        <v>45</v>
      </c>
      <c r="D8" t="s">
        <v>36</v>
      </c>
      <c r="E8" t="s">
        <v>46</v>
      </c>
      <c r="F8" t="s">
        <v>38</v>
      </c>
      <c r="H8">
        <v>1</v>
      </c>
      <c r="I8">
        <v>1</v>
      </c>
      <c r="J8">
        <v>0</v>
      </c>
      <c r="K8">
        <v>1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5</v>
      </c>
      <c r="U8">
        <v>1</v>
      </c>
      <c r="V8" t="str">
        <f t="shared" si="0"/>
        <v>VERO</v>
      </c>
    </row>
    <row r="9" spans="1:22" hidden="1" x14ac:dyDescent="0.3">
      <c r="A9" t="s">
        <v>47</v>
      </c>
      <c r="B9">
        <v>2021</v>
      </c>
      <c r="C9" t="s">
        <v>43</v>
      </c>
      <c r="D9" t="s">
        <v>43</v>
      </c>
      <c r="E9" t="s">
        <v>48</v>
      </c>
      <c r="F9" t="s">
        <v>43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1</v>
      </c>
      <c r="O9">
        <v>1</v>
      </c>
      <c r="P9">
        <v>1</v>
      </c>
      <c r="Q9">
        <v>0</v>
      </c>
      <c r="R9">
        <v>0</v>
      </c>
      <c r="S9">
        <v>0</v>
      </c>
      <c r="T9">
        <v>3</v>
      </c>
      <c r="U9">
        <v>3</v>
      </c>
      <c r="V9" t="str">
        <f t="shared" si="0"/>
        <v>FALSO</v>
      </c>
    </row>
    <row r="10" spans="1:22" x14ac:dyDescent="0.3">
      <c r="A10" t="s">
        <v>49</v>
      </c>
      <c r="B10">
        <v>2021</v>
      </c>
      <c r="C10" t="s">
        <v>50</v>
      </c>
      <c r="D10" t="s">
        <v>36</v>
      </c>
      <c r="E10" t="s">
        <v>51</v>
      </c>
      <c r="F10" t="s">
        <v>52</v>
      </c>
      <c r="H10">
        <v>1</v>
      </c>
      <c r="I10">
        <v>1</v>
      </c>
      <c r="J10">
        <v>0</v>
      </c>
      <c r="K10">
        <v>1</v>
      </c>
      <c r="L10">
        <v>1</v>
      </c>
      <c r="M10">
        <v>1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5</v>
      </c>
      <c r="U10">
        <v>1</v>
      </c>
      <c r="V10" t="str">
        <f t="shared" si="0"/>
        <v>VERO</v>
      </c>
    </row>
    <row r="11" spans="1:22" x14ac:dyDescent="0.3">
      <c r="A11" t="s">
        <v>53</v>
      </c>
      <c r="B11">
        <v>2021</v>
      </c>
      <c r="C11" t="s">
        <v>54</v>
      </c>
      <c r="D11" t="s">
        <v>36</v>
      </c>
      <c r="E11" t="s">
        <v>55</v>
      </c>
      <c r="F11" t="s">
        <v>38</v>
      </c>
      <c r="H11">
        <v>1</v>
      </c>
      <c r="I11">
        <v>1</v>
      </c>
      <c r="J11">
        <v>0</v>
      </c>
      <c r="K11">
        <v>1</v>
      </c>
      <c r="L11">
        <v>1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5</v>
      </c>
      <c r="U11">
        <v>1</v>
      </c>
      <c r="V11" t="str">
        <f t="shared" si="0"/>
        <v>VERO</v>
      </c>
    </row>
    <row r="12" spans="1:22" x14ac:dyDescent="0.3">
      <c r="A12" t="s">
        <v>56</v>
      </c>
      <c r="B12">
        <v>2020</v>
      </c>
      <c r="C12" t="s">
        <v>35</v>
      </c>
      <c r="D12" t="s">
        <v>36</v>
      </c>
      <c r="E12" t="s">
        <v>57</v>
      </c>
      <c r="F12" t="s">
        <v>38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5</v>
      </c>
      <c r="U12">
        <v>1</v>
      </c>
      <c r="V12" t="str">
        <f t="shared" si="0"/>
        <v>VERO</v>
      </c>
    </row>
    <row r="13" spans="1:22" x14ac:dyDescent="0.3">
      <c r="A13" t="s">
        <v>58</v>
      </c>
      <c r="B13">
        <v>2020</v>
      </c>
      <c r="C13" t="s">
        <v>35</v>
      </c>
      <c r="D13" t="s">
        <v>36</v>
      </c>
      <c r="E13" t="s">
        <v>59</v>
      </c>
      <c r="F13" t="s">
        <v>38</v>
      </c>
      <c r="H13">
        <v>1</v>
      </c>
      <c r="I13">
        <v>1</v>
      </c>
      <c r="J13">
        <v>0</v>
      </c>
      <c r="K13">
        <v>1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5</v>
      </c>
      <c r="U13">
        <v>1</v>
      </c>
      <c r="V13" t="str">
        <f t="shared" si="0"/>
        <v>VERO</v>
      </c>
    </row>
    <row r="14" spans="1:22" x14ac:dyDescent="0.3">
      <c r="A14" t="s">
        <v>60</v>
      </c>
      <c r="B14">
        <v>2020</v>
      </c>
      <c r="C14" t="s">
        <v>61</v>
      </c>
      <c r="D14" t="s">
        <v>36</v>
      </c>
      <c r="E14" t="s">
        <v>62</v>
      </c>
      <c r="F14" t="s">
        <v>43</v>
      </c>
      <c r="H14">
        <v>1</v>
      </c>
      <c r="I14">
        <v>1</v>
      </c>
      <c r="J14">
        <v>1</v>
      </c>
      <c r="K14">
        <v>1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5</v>
      </c>
      <c r="U14">
        <v>1</v>
      </c>
      <c r="V14" t="str">
        <f t="shared" si="0"/>
        <v>VERO</v>
      </c>
    </row>
    <row r="15" spans="1:22" x14ac:dyDescent="0.3">
      <c r="A15" t="s">
        <v>63</v>
      </c>
      <c r="B15">
        <v>2020</v>
      </c>
      <c r="C15" t="s">
        <v>50</v>
      </c>
      <c r="D15" t="s">
        <v>36</v>
      </c>
      <c r="E15" t="s">
        <v>64</v>
      </c>
      <c r="F15" t="s">
        <v>52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</v>
      </c>
      <c r="U15">
        <v>0</v>
      </c>
      <c r="V15" t="str">
        <f t="shared" si="0"/>
        <v>VERO</v>
      </c>
    </row>
    <row r="16" spans="1:22" x14ac:dyDescent="0.3">
      <c r="A16" t="s">
        <v>65</v>
      </c>
      <c r="B16">
        <v>2022</v>
      </c>
      <c r="C16" t="s">
        <v>35</v>
      </c>
      <c r="D16" t="s">
        <v>36</v>
      </c>
      <c r="E16" t="s">
        <v>66</v>
      </c>
      <c r="F16" t="s">
        <v>38</v>
      </c>
      <c r="H16">
        <v>1</v>
      </c>
      <c r="I16">
        <v>1</v>
      </c>
      <c r="J16">
        <v>0</v>
      </c>
      <c r="K16">
        <v>1</v>
      </c>
      <c r="L16">
        <v>1</v>
      </c>
      <c r="M16">
        <v>1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5</v>
      </c>
      <c r="U16">
        <v>1</v>
      </c>
      <c r="V16" t="str">
        <f t="shared" si="0"/>
        <v>VERO</v>
      </c>
    </row>
    <row r="17" spans="1:22" x14ac:dyDescent="0.3">
      <c r="A17" t="s">
        <v>67</v>
      </c>
      <c r="B17">
        <v>2022</v>
      </c>
      <c r="C17" t="s">
        <v>50</v>
      </c>
      <c r="D17" t="s">
        <v>36</v>
      </c>
      <c r="E17" t="s">
        <v>68</v>
      </c>
      <c r="F17" t="s">
        <v>52</v>
      </c>
      <c r="H17">
        <v>1</v>
      </c>
      <c r="I17">
        <v>1</v>
      </c>
      <c r="J17">
        <v>0</v>
      </c>
      <c r="K17">
        <v>1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5</v>
      </c>
      <c r="U17">
        <v>1</v>
      </c>
      <c r="V17" t="str">
        <f t="shared" si="0"/>
        <v>VERO</v>
      </c>
    </row>
    <row r="18" spans="1:22" hidden="1" x14ac:dyDescent="0.3">
      <c r="A18" t="s">
        <v>69</v>
      </c>
      <c r="B18">
        <v>2022</v>
      </c>
      <c r="C18" t="s">
        <v>40</v>
      </c>
      <c r="D18" t="s">
        <v>41</v>
      </c>
      <c r="E18" t="s">
        <v>70</v>
      </c>
      <c r="F18" t="s">
        <v>43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>
        <v>2</v>
      </c>
      <c r="V18" t="str">
        <f t="shared" si="0"/>
        <v>FALSO</v>
      </c>
    </row>
    <row r="19" spans="1:22" hidden="1" x14ac:dyDescent="0.3">
      <c r="A19" t="s">
        <v>71</v>
      </c>
      <c r="B19">
        <v>2024</v>
      </c>
      <c r="C19" t="s">
        <v>43</v>
      </c>
      <c r="D19" t="s">
        <v>43</v>
      </c>
      <c r="E19" t="s">
        <v>72</v>
      </c>
      <c r="F19" t="s">
        <v>43</v>
      </c>
      <c r="H19">
        <v>1</v>
      </c>
      <c r="I19">
        <v>1</v>
      </c>
      <c r="J19">
        <v>1</v>
      </c>
      <c r="K19">
        <v>1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4</v>
      </c>
      <c r="U19">
        <v>2</v>
      </c>
      <c r="V19" t="str">
        <f t="shared" si="0"/>
        <v>FALSO</v>
      </c>
    </row>
    <row r="20" spans="1:22" hidden="1" x14ac:dyDescent="0.3">
      <c r="A20" t="s">
        <v>73</v>
      </c>
      <c r="B20">
        <v>2024</v>
      </c>
      <c r="C20" t="s">
        <v>74</v>
      </c>
      <c r="D20" t="s">
        <v>24</v>
      </c>
      <c r="E20" t="s">
        <v>75</v>
      </c>
      <c r="F20" t="s">
        <v>26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</v>
      </c>
      <c r="U20">
        <v>0</v>
      </c>
      <c r="V20" t="str">
        <f t="shared" si="0"/>
        <v>FALSO</v>
      </c>
    </row>
    <row r="21" spans="1:22" hidden="1" x14ac:dyDescent="0.3">
      <c r="A21" t="s">
        <v>76</v>
      </c>
      <c r="B21">
        <v>2023</v>
      </c>
      <c r="C21" t="s">
        <v>77</v>
      </c>
      <c r="D21" t="s">
        <v>36</v>
      </c>
      <c r="E21" t="s">
        <v>78</v>
      </c>
      <c r="F21" t="s">
        <v>43</v>
      </c>
      <c r="H21">
        <v>0</v>
      </c>
      <c r="I21">
        <v>1</v>
      </c>
      <c r="J21">
        <v>0</v>
      </c>
      <c r="K21">
        <v>0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1</v>
      </c>
      <c r="S21">
        <v>0</v>
      </c>
      <c r="T21">
        <v>2</v>
      </c>
      <c r="U21">
        <v>2</v>
      </c>
      <c r="V21" t="str">
        <f t="shared" si="0"/>
        <v>FALSO</v>
      </c>
    </row>
    <row r="22" spans="1:22" hidden="1" x14ac:dyDescent="0.3">
      <c r="A22" t="s">
        <v>79</v>
      </c>
      <c r="B22">
        <v>2022</v>
      </c>
      <c r="C22" t="s">
        <v>80</v>
      </c>
      <c r="D22" t="s">
        <v>36</v>
      </c>
      <c r="E22" t="s">
        <v>81</v>
      </c>
      <c r="F22" t="s">
        <v>82</v>
      </c>
      <c r="H22">
        <v>0</v>
      </c>
      <c r="I22">
        <v>1</v>
      </c>
      <c r="J22">
        <v>0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3</v>
      </c>
      <c r="U22">
        <v>1</v>
      </c>
      <c r="V22" t="str">
        <f t="shared" si="0"/>
        <v>FALSO</v>
      </c>
    </row>
    <row r="23" spans="1:22" hidden="1" x14ac:dyDescent="0.3">
      <c r="A23" t="s">
        <v>83</v>
      </c>
      <c r="B23">
        <v>2024</v>
      </c>
      <c r="C23" t="s">
        <v>84</v>
      </c>
      <c r="D23" t="s">
        <v>41</v>
      </c>
      <c r="E23" t="s">
        <v>85</v>
      </c>
      <c r="F23" t="s">
        <v>43</v>
      </c>
      <c r="H23">
        <v>1</v>
      </c>
      <c r="I23">
        <v>1</v>
      </c>
      <c r="J23">
        <v>0</v>
      </c>
      <c r="K23">
        <v>1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3</v>
      </c>
      <c r="U23">
        <v>2</v>
      </c>
      <c r="V23" t="str">
        <f t="shared" si="0"/>
        <v>FALSO</v>
      </c>
    </row>
    <row r="24" spans="1:22" hidden="1" x14ac:dyDescent="0.3">
      <c r="A24" t="s">
        <v>86</v>
      </c>
      <c r="B24">
        <v>2020</v>
      </c>
      <c r="C24" t="s">
        <v>40</v>
      </c>
      <c r="D24" t="s">
        <v>41</v>
      </c>
      <c r="E24" t="s">
        <v>87</v>
      </c>
      <c r="F24" t="s">
        <v>43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2</v>
      </c>
      <c r="V24" t="str">
        <f t="shared" si="0"/>
        <v>FALSO</v>
      </c>
    </row>
    <row r="25" spans="1:22" hidden="1" x14ac:dyDescent="0.3">
      <c r="A25" t="s">
        <v>88</v>
      </c>
      <c r="B25">
        <v>2018</v>
      </c>
      <c r="C25" t="s">
        <v>89</v>
      </c>
      <c r="D25" t="s">
        <v>36</v>
      </c>
      <c r="E25" t="s">
        <v>43</v>
      </c>
      <c r="F25" t="s">
        <v>43</v>
      </c>
      <c r="H25">
        <v>0</v>
      </c>
      <c r="I25">
        <v>1</v>
      </c>
      <c r="J25">
        <v>1</v>
      </c>
      <c r="K25">
        <v>0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1</v>
      </c>
      <c r="S25">
        <v>1</v>
      </c>
      <c r="T25">
        <v>3</v>
      </c>
      <c r="U25">
        <v>3</v>
      </c>
      <c r="V25" t="str">
        <f t="shared" si="0"/>
        <v>FALSO</v>
      </c>
    </row>
    <row r="26" spans="1:22" x14ac:dyDescent="0.3">
      <c r="A26" t="s">
        <v>90</v>
      </c>
      <c r="B26">
        <v>2022</v>
      </c>
      <c r="C26" t="s">
        <v>50</v>
      </c>
      <c r="D26" t="s">
        <v>36</v>
      </c>
      <c r="E26" t="s">
        <v>91</v>
      </c>
      <c r="F26" t="s">
        <v>52</v>
      </c>
      <c r="H26">
        <v>1</v>
      </c>
      <c r="I26">
        <v>1</v>
      </c>
      <c r="J26">
        <v>0</v>
      </c>
      <c r="K26">
        <v>1</v>
      </c>
      <c r="L26">
        <v>1</v>
      </c>
      <c r="M26">
        <v>1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5</v>
      </c>
      <c r="U26">
        <v>1</v>
      </c>
      <c r="V26" t="str">
        <f t="shared" si="0"/>
        <v>VERO</v>
      </c>
    </row>
    <row r="27" spans="1:22" x14ac:dyDescent="0.3">
      <c r="A27" t="s">
        <v>92</v>
      </c>
      <c r="B27">
        <v>2022</v>
      </c>
      <c r="C27" t="s">
        <v>93</v>
      </c>
      <c r="D27" t="s">
        <v>24</v>
      </c>
      <c r="E27" t="s">
        <v>94</v>
      </c>
      <c r="F27" t="s">
        <v>26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</v>
      </c>
      <c r="U27">
        <v>0</v>
      </c>
      <c r="V27" t="str">
        <f t="shared" si="0"/>
        <v>VERO</v>
      </c>
    </row>
    <row r="28" spans="1:22" hidden="1" x14ac:dyDescent="0.3">
      <c r="A28" t="s">
        <v>95</v>
      </c>
      <c r="B28">
        <v>2022</v>
      </c>
      <c r="C28" t="s">
        <v>96</v>
      </c>
      <c r="D28" t="s">
        <v>36</v>
      </c>
      <c r="E28" t="s">
        <v>97</v>
      </c>
      <c r="F28" t="s">
        <v>43</v>
      </c>
      <c r="H28">
        <v>1</v>
      </c>
      <c r="I28">
        <v>1</v>
      </c>
      <c r="J28">
        <v>0</v>
      </c>
      <c r="K28">
        <v>1</v>
      </c>
      <c r="L28">
        <v>1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4</v>
      </c>
      <c r="U28">
        <v>2</v>
      </c>
      <c r="V28" t="str">
        <f t="shared" si="0"/>
        <v>FALSO</v>
      </c>
    </row>
    <row r="29" spans="1:22" x14ac:dyDescent="0.3">
      <c r="A29" t="s">
        <v>98</v>
      </c>
      <c r="B29">
        <v>2023</v>
      </c>
      <c r="C29" t="s">
        <v>93</v>
      </c>
      <c r="D29" t="s">
        <v>24</v>
      </c>
      <c r="E29" t="s">
        <v>99</v>
      </c>
      <c r="F29" t="s">
        <v>26</v>
      </c>
      <c r="H29">
        <v>1</v>
      </c>
      <c r="I29">
        <v>1</v>
      </c>
      <c r="J29">
        <v>0</v>
      </c>
      <c r="K29">
        <v>1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5</v>
      </c>
      <c r="U29">
        <v>0</v>
      </c>
      <c r="V29" t="str">
        <f t="shared" si="0"/>
        <v>VERO</v>
      </c>
    </row>
    <row r="30" spans="1:22" hidden="1" x14ac:dyDescent="0.3">
      <c r="A30" t="s">
        <v>100</v>
      </c>
      <c r="B30">
        <v>2024</v>
      </c>
      <c r="C30" t="s">
        <v>101</v>
      </c>
      <c r="D30" t="s">
        <v>36</v>
      </c>
      <c r="E30" t="s">
        <v>102</v>
      </c>
      <c r="F30" t="s">
        <v>103</v>
      </c>
      <c r="H30">
        <v>1</v>
      </c>
      <c r="I30">
        <v>1</v>
      </c>
      <c r="J30">
        <v>0</v>
      </c>
      <c r="K30">
        <v>1</v>
      </c>
      <c r="L30">
        <v>1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4</v>
      </c>
      <c r="U30">
        <v>2</v>
      </c>
      <c r="V30" t="str">
        <f t="shared" si="0"/>
        <v>FALSO</v>
      </c>
    </row>
    <row r="31" spans="1:22" hidden="1" x14ac:dyDescent="0.3">
      <c r="A31" t="s">
        <v>104</v>
      </c>
      <c r="B31">
        <v>2024</v>
      </c>
      <c r="C31" t="s">
        <v>54</v>
      </c>
      <c r="D31" t="s">
        <v>36</v>
      </c>
      <c r="E31" t="s">
        <v>105</v>
      </c>
      <c r="F31" t="s">
        <v>43</v>
      </c>
      <c r="H31">
        <v>1</v>
      </c>
      <c r="I31">
        <v>1</v>
      </c>
      <c r="J31">
        <v>0</v>
      </c>
      <c r="K31">
        <v>1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4</v>
      </c>
      <c r="U31">
        <v>1</v>
      </c>
      <c r="V31" t="str">
        <f t="shared" si="0"/>
        <v>FALSO</v>
      </c>
    </row>
    <row r="32" spans="1:22" x14ac:dyDescent="0.3">
      <c r="A32" t="s">
        <v>106</v>
      </c>
      <c r="B32">
        <v>2025</v>
      </c>
      <c r="C32" t="s">
        <v>107</v>
      </c>
      <c r="D32" t="s">
        <v>24</v>
      </c>
      <c r="E32" t="s">
        <v>108</v>
      </c>
      <c r="F32" t="s">
        <v>26</v>
      </c>
      <c r="H32">
        <v>1</v>
      </c>
      <c r="I32">
        <v>1</v>
      </c>
      <c r="J32">
        <v>0</v>
      </c>
      <c r="K32">
        <v>1</v>
      </c>
      <c r="L32">
        <v>1</v>
      </c>
      <c r="M32">
        <v>1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5</v>
      </c>
      <c r="U32">
        <v>1</v>
      </c>
      <c r="V32" t="str">
        <f t="shared" si="0"/>
        <v>VERO</v>
      </c>
    </row>
    <row r="33" spans="1:22" x14ac:dyDescent="0.3">
      <c r="A33" t="s">
        <v>109</v>
      </c>
      <c r="B33">
        <v>2025</v>
      </c>
      <c r="C33" t="s">
        <v>23</v>
      </c>
      <c r="D33" t="s">
        <v>24</v>
      </c>
      <c r="E33" t="s">
        <v>110</v>
      </c>
      <c r="F33" t="s">
        <v>26</v>
      </c>
      <c r="H33">
        <v>1</v>
      </c>
      <c r="I33">
        <v>1</v>
      </c>
      <c r="J33">
        <v>0</v>
      </c>
      <c r="K33">
        <v>1</v>
      </c>
      <c r="L33">
        <v>1</v>
      </c>
      <c r="M33">
        <v>1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5</v>
      </c>
      <c r="U33">
        <v>1</v>
      </c>
      <c r="V33" t="str">
        <f t="shared" si="0"/>
        <v>VERO</v>
      </c>
    </row>
    <row r="34" spans="1:22" hidden="1" x14ac:dyDescent="0.3">
      <c r="A34" t="s">
        <v>111</v>
      </c>
      <c r="B34">
        <v>2023</v>
      </c>
      <c r="C34" t="s">
        <v>112</v>
      </c>
      <c r="D34" t="s">
        <v>41</v>
      </c>
      <c r="E34" t="s">
        <v>113</v>
      </c>
      <c r="F34" t="s">
        <v>43</v>
      </c>
      <c r="H34">
        <v>1</v>
      </c>
      <c r="I34">
        <v>1</v>
      </c>
      <c r="J34">
        <v>0</v>
      </c>
      <c r="K34">
        <v>1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3</v>
      </c>
      <c r="U34">
        <v>2</v>
      </c>
      <c r="V34" t="str">
        <f t="shared" si="0"/>
        <v>FALSO</v>
      </c>
    </row>
  </sheetData>
  <autoFilter ref="V1:V34" xr:uid="{00000000-0001-0000-0000-000000000000}">
    <filterColumn colId="0">
      <filters>
        <filter val="VER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Vittoriano Muttilllo</dc:creator>
  <cp:lastModifiedBy>Vittoriano Muttillo</cp:lastModifiedBy>
  <dcterms:created xsi:type="dcterms:W3CDTF">2015-06-05T18:17:20Z</dcterms:created>
  <dcterms:modified xsi:type="dcterms:W3CDTF">2026-04-15T14:11:04Z</dcterms:modified>
</cp:coreProperties>
</file>